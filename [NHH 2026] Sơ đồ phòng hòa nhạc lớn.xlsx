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ơ đồ" sheetId="1" r:id="rId5"/>
    <sheet state="visible" name="Vé" sheetId="2" r:id="rId6"/>
  </sheets>
  <definedNames/>
  <calcPr/>
</workbook>
</file>

<file path=xl/sharedStrings.xml><?xml version="1.0" encoding="utf-8"?>
<sst xmlns="http://schemas.openxmlformats.org/spreadsheetml/2006/main" count="67" uniqueCount="43">
  <si>
    <t>SƠ ĐỒ PHÒNG HÒA NHẠC LỚN</t>
  </si>
  <si>
    <t>Ghi chú: Để 75% để thấy toàn cảnh</t>
  </si>
  <si>
    <t>Cửa</t>
  </si>
  <si>
    <t>Tường</t>
  </si>
  <si>
    <t>Hạng 1</t>
  </si>
  <si>
    <t>G</t>
  </si>
  <si>
    <t>Hạng 2</t>
  </si>
  <si>
    <t>F</t>
  </si>
  <si>
    <t>Hạng 3</t>
  </si>
  <si>
    <t>E</t>
  </si>
  <si>
    <t>Đã đặt</t>
  </si>
  <si>
    <t>D</t>
  </si>
  <si>
    <t>Tầng 3</t>
  </si>
  <si>
    <t>C</t>
  </si>
  <si>
    <t>B</t>
  </si>
  <si>
    <t>P</t>
  </si>
  <si>
    <t>Cột</t>
  </si>
  <si>
    <t>O</t>
  </si>
  <si>
    <t>M</t>
  </si>
  <si>
    <t>L</t>
  </si>
  <si>
    <t>Tầng 2</t>
  </si>
  <si>
    <t>K</t>
  </si>
  <si>
    <t>J</t>
  </si>
  <si>
    <t>I</t>
  </si>
  <si>
    <t>L2B</t>
  </si>
  <si>
    <t>L2A</t>
  </si>
  <si>
    <t>H</t>
  </si>
  <si>
    <t>R2A</t>
  </si>
  <si>
    <t>R2B</t>
  </si>
  <si>
    <t>A</t>
  </si>
  <si>
    <t>Tầng 1</t>
  </si>
  <si>
    <t>STAGE</t>
  </si>
  <si>
    <t>Vé</t>
  </si>
  <si>
    <t>Số lượng (ghế)</t>
  </si>
  <si>
    <t>Giá (nghìn VND)</t>
  </si>
  <si>
    <t>Thành tiền (nghìn VND)</t>
  </si>
  <si>
    <t>Loại 1</t>
  </si>
  <si>
    <t>Loại 2</t>
  </si>
  <si>
    <t>Loại 3</t>
  </si>
  <si>
    <t>Mời</t>
  </si>
  <si>
    <t>Thu</t>
  </si>
  <si>
    <t>(không vé mời)</t>
  </si>
  <si>
    <t>(trừ vé mời)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</si>
</sst>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30.0"/>
      <color rgb="FFFFFFFF"/>
      <name val="Lexend"/>
    </font>
    <font/>
    <font>
      <sz val="10.0"/>
      <color theme="1"/>
      <name val="Lexend"/>
    </font>
    <font>
      <color theme="1"/>
      <name val="Arial"/>
      <scheme val="minor"/>
    </font>
    <font>
      <sz val="11.0"/>
      <color theme="1"/>
      <name val="Lexend"/>
    </font>
    <font>
      <b/>
      <sz val="15.0"/>
      <color theme="1"/>
      <name val="Lexend"/>
    </font>
    <font>
      <b/>
      <sz val="11.0"/>
      <color theme="1"/>
      <name val="Lexend"/>
    </font>
    <font>
      <sz val="51.0"/>
      <color theme="1"/>
      <name val="Lexend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D3557"/>
        <bgColor rgb="FF1D3557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0F0FF"/>
        <bgColor rgb="FFD0F0FF"/>
      </patternFill>
    </fill>
    <fill>
      <patternFill patternType="solid">
        <fgColor rgb="FFE2F5ED"/>
        <bgColor rgb="FFE2F5ED"/>
      </patternFill>
    </fill>
    <fill>
      <patternFill patternType="solid">
        <fgColor rgb="FFF7D6C8"/>
        <bgColor rgb="FFF7D6C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5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000000"/>
      </left>
      <top style="thick">
        <color rgb="FF000000"/>
      </top>
      <bottom style="thick">
        <color rgb="FFFFFFFF"/>
      </bottom>
    </border>
    <border>
      <right style="thick">
        <color rgb="FFFFFFFF"/>
      </right>
      <top style="thick">
        <color rgb="FF000000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000000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000000"/>
      </top>
    </border>
    <border>
      <left style="thick">
        <color rgb="FFFFFFFF"/>
      </left>
      <right style="thick">
        <color rgb="FF000000"/>
      </right>
      <top style="thick">
        <color rgb="FF000000"/>
      </top>
      <bottom style="thick">
        <color rgb="FFFFFFFF"/>
      </bottom>
    </border>
    <border>
      <left style="thick">
        <color rgb="FF000000"/>
      </lef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 style="thick">
        <color rgb="FF000000"/>
      </left>
      <top style="thick">
        <color rgb="FFFFFFFF"/>
      </top>
      <bottom style="thick">
        <color rgb="FF000000"/>
      </bottom>
    </border>
    <border>
      <right style="thick">
        <color rgb="FFFFFFFF"/>
      </right>
      <top style="thick">
        <color rgb="FFFFFFFF"/>
      </top>
      <bottom style="thick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000000"/>
      </bottom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000000"/>
      </bottom>
    </border>
    <border>
      <left style="thick">
        <color rgb="FFFFFFFF"/>
      </left>
    </border>
    <border>
      <right style="thick">
        <color rgb="FFFFFFFF"/>
      </right>
    </border>
    <border>
      <left style="thick">
        <color rgb="FFFFFFFF"/>
      </left>
      <top style="thick">
        <color rgb="FFFFFFFF"/>
      </top>
    </border>
    <border>
      <top style="thick">
        <color rgb="FFFFFFFF"/>
      </top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  <border>
      <left style="thick">
        <color rgb="FFFFFFFF"/>
      </left>
      <right style="thick">
        <color rgb="FFFFFFFF"/>
      </right>
    </border>
    <border>
      <left style="thick">
        <color rgb="FFD9D9D9"/>
      </left>
      <right style="thick">
        <color rgb="FFD9D9D9"/>
      </right>
      <top style="thick">
        <color rgb="FFD9D9D9"/>
      </top>
      <bottom style="thick">
        <color rgb="FFD9D9D9"/>
      </bottom>
    </border>
    <border>
      <left style="thick">
        <color rgb="FFD9D9D9"/>
      </left>
      <top style="thick">
        <color rgb="FFD9D9D9"/>
      </top>
    </border>
    <border>
      <top style="thick">
        <color rgb="FFD9D9D9"/>
      </top>
    </border>
    <border>
      <right style="thick">
        <color rgb="FFD9D9D9"/>
      </right>
      <top style="thick">
        <color rgb="FFD9D9D9"/>
      </top>
    </border>
    <border>
      <left style="thick">
        <color rgb="FFD9D9D9"/>
      </left>
      <right style="thick">
        <color rgb="FFD9D9D9"/>
      </right>
      <top style="thick">
        <color rgb="FFD9D9D9"/>
      </top>
    </border>
    <border>
      <left style="thick">
        <color rgb="FFD9D9D9"/>
      </left>
    </border>
    <border>
      <right style="thick">
        <color rgb="FFD9D9D9"/>
      </right>
    </border>
    <border>
      <left style="thick">
        <color rgb="FFD9D9D9"/>
      </left>
      <right style="thick">
        <color rgb="FFD9D9D9"/>
      </right>
    </border>
    <border>
      <left style="thick">
        <color rgb="FFD9D9D9"/>
      </left>
      <right style="thick">
        <color rgb="FFD9D9D9"/>
      </right>
      <bottom style="thick">
        <color rgb="FFD9D9D9"/>
      </bottom>
    </border>
    <border>
      <left style="thick">
        <color rgb="FFD9D9D9"/>
      </left>
      <bottom style="thick">
        <color rgb="FFD9D9D9"/>
      </bottom>
    </border>
    <border>
      <bottom style="thick">
        <color rgb="FFD9D9D9"/>
      </bottom>
    </border>
    <border>
      <right style="thick">
        <color rgb="FFD9D9D9"/>
      </right>
      <bottom style="thick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3" fontId="3" numFmtId="0" xfId="0" applyAlignment="1" applyFill="1" applyFont="1">
      <alignment horizontal="center" vertical="center"/>
    </xf>
    <xf borderId="0" fillId="3" fontId="4" numFmtId="0" xfId="0" applyFont="1"/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readingOrder="0" shrinkToFit="0" vertical="center" wrapText="0"/>
    </xf>
    <xf borderId="1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readingOrder="0" vertical="center"/>
    </xf>
    <xf borderId="12" fillId="4" fontId="5" numFmtId="0" xfId="0" applyAlignment="1" applyBorder="1" applyFill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12" fillId="5" fontId="5" numFmtId="0" xfId="0" applyAlignment="1" applyBorder="1" applyFill="1" applyFont="1">
      <alignment horizontal="center" readingOrder="0" vertical="center"/>
    </xf>
    <xf borderId="12" fillId="0" fontId="3" numFmtId="0" xfId="0" applyAlignment="1" applyBorder="1" applyFont="1">
      <alignment horizontal="center" vertical="center"/>
    </xf>
    <xf borderId="15" fillId="6" fontId="5" numFmtId="0" xfId="0" applyAlignment="1" applyBorder="1" applyFill="1" applyFont="1">
      <alignment horizontal="center" readingOrder="0" vertical="center"/>
    </xf>
    <xf borderId="16" fillId="0" fontId="2" numFmtId="0" xfId="0" applyBorder="1" applyFont="1"/>
    <xf borderId="17" fillId="0" fontId="3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readingOrder="0"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readingOrder="0" vertical="center"/>
    </xf>
    <xf borderId="9" fillId="7" fontId="5" numFmtId="0" xfId="0" applyAlignment="1" applyBorder="1" applyFill="1" applyFon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20" fillId="8" fontId="5" numFmtId="0" xfId="0" applyAlignment="1" applyBorder="1" applyFill="1" applyFont="1">
      <alignment horizontal="center" readingOrder="0" vertical="center"/>
    </xf>
    <xf borderId="21" fillId="0" fontId="3" numFmtId="0" xfId="0" applyAlignment="1" applyBorder="1" applyFont="1">
      <alignment horizontal="center" vertical="center"/>
    </xf>
    <xf borderId="20" fillId="7" fontId="5" numFmtId="0" xfId="0" applyAlignment="1" applyBorder="1" applyFont="1">
      <alignment horizontal="center" readingOrder="0" vertical="center"/>
    </xf>
    <xf borderId="22" fillId="0" fontId="3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readingOrder="0" vertical="center"/>
    </xf>
    <xf borderId="24" fillId="9" fontId="3" numFmtId="0" xfId="0" applyAlignment="1" applyBorder="1" applyFill="1" applyFont="1">
      <alignment horizontal="center" vertical="center"/>
    </xf>
    <xf borderId="25" fillId="0" fontId="2" numFmtId="0" xfId="0" applyBorder="1" applyFont="1"/>
    <xf borderId="26" fillId="0" fontId="3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 readingOrder="0" vertical="center"/>
    </xf>
    <xf borderId="27" fillId="0" fontId="3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readingOrder="0" vertical="center"/>
    </xf>
    <xf borderId="29" fillId="0" fontId="2" numFmtId="0" xfId="0" applyBorder="1" applyFont="1"/>
    <xf borderId="30" fillId="0" fontId="6" numFmtId="0" xfId="0" applyAlignment="1" applyBorder="1" applyFont="1">
      <alignment horizontal="center" readingOrder="0" vertical="center"/>
    </xf>
    <xf borderId="31" fillId="0" fontId="2" numFmtId="0" xfId="0" applyBorder="1" applyFont="1"/>
    <xf borderId="1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23" fillId="0" fontId="2" numFmtId="0" xfId="0" applyBorder="1" applyFont="1"/>
    <xf borderId="9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0" fillId="4" fontId="5" numFmtId="0" xfId="0" applyAlignment="1" applyBorder="1" applyFont="1">
      <alignment horizontal="center" readingOrder="0" textRotation="180" vertical="center"/>
    </xf>
    <xf borderId="9" fillId="8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0" fillId="4" fontId="5" numFmtId="0" xfId="0" applyAlignment="1" applyBorder="1" applyFont="1">
      <alignment horizontal="center" readingOrder="0" textRotation="90" vertical="center"/>
    </xf>
    <xf borderId="34" fillId="0" fontId="2" numFmtId="0" xfId="0" applyBorder="1" applyFont="1"/>
    <xf borderId="9" fillId="8" fontId="5" numFmtId="0" xfId="0" applyAlignment="1" applyBorder="1" applyFont="1">
      <alignment horizontal="center" readingOrder="0" vertical="center"/>
    </xf>
    <xf borderId="10" fillId="4" fontId="3" numFmtId="0" xfId="0" applyAlignment="1" applyBorder="1" applyFont="1">
      <alignment horizontal="center" readingOrder="0" textRotation="180" vertical="center"/>
    </xf>
    <xf borderId="9" fillId="6" fontId="3" numFmtId="0" xfId="0" applyAlignment="1" applyBorder="1" applyFont="1">
      <alignment horizontal="center" readingOrder="0" vertical="center"/>
    </xf>
    <xf borderId="9" fillId="6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readingOrder="0" textRotation="90" vertical="center"/>
    </xf>
    <xf borderId="22" fillId="0" fontId="2" numFmtId="0" xfId="0" applyBorder="1" applyFont="1"/>
    <xf borderId="9" fillId="0" fontId="4" numFmtId="0" xfId="0" applyBorder="1" applyFont="1"/>
    <xf borderId="10" fillId="0" fontId="7" numFmtId="0" xfId="0" applyAlignment="1" applyBorder="1" applyFont="1">
      <alignment horizontal="center" readingOrder="0" textRotation="180" vertical="bottom"/>
    </xf>
    <xf borderId="9" fillId="0" fontId="6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textRotation="90" vertical="bottom"/>
    </xf>
    <xf borderId="11" fillId="0" fontId="7" numFmtId="0" xfId="0" applyAlignment="1" applyBorder="1" applyFont="1">
      <alignment horizontal="center" readingOrder="0" textRotation="90" vertical="bottom"/>
    </xf>
    <xf borderId="0" fillId="3" fontId="3" numFmtId="0" xfId="0" applyAlignment="1" applyFont="1">
      <alignment horizontal="center" readingOrder="0" vertical="center"/>
    </xf>
    <xf borderId="9" fillId="10" fontId="3" numFmtId="0" xfId="0" applyAlignment="1" applyBorder="1" applyFill="1" applyFont="1">
      <alignment horizontal="center" vertical="center"/>
    </xf>
    <xf borderId="28" fillId="0" fontId="2" numFmtId="0" xfId="0" applyBorder="1" applyFont="1"/>
    <xf borderId="35" fillId="11" fontId="3" numFmtId="0" xfId="0" applyAlignment="1" applyBorder="1" applyFill="1" applyFont="1">
      <alignment horizontal="center" vertical="center"/>
    </xf>
    <xf borderId="3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36" fillId="11" fontId="8" numFmtId="0" xfId="0" applyAlignment="1" applyBorder="1" applyFont="1">
      <alignment horizontal="center" readingOrder="0" vertical="center"/>
    </xf>
    <xf borderId="37" fillId="0" fontId="2" numFmtId="0" xfId="0" applyBorder="1" applyFont="1"/>
    <xf borderId="38" fillId="0" fontId="2" numFmtId="0" xfId="0" applyBorder="1" applyFont="1"/>
    <xf borderId="39" fillId="4" fontId="5" numFmtId="0" xfId="0" applyAlignment="1" applyBorder="1" applyFont="1">
      <alignment horizontal="center" readingOrder="0" textRotation="180" vertical="center"/>
    </xf>
    <xf borderId="40" fillId="0" fontId="2" numFmtId="0" xfId="0" applyBorder="1" applyFont="1"/>
    <xf borderId="41" fillId="0" fontId="2" numFmtId="0" xfId="0" applyBorder="1" applyFont="1"/>
    <xf borderId="39" fillId="4" fontId="5" numFmtId="0" xfId="0" applyAlignment="1" applyBorder="1" applyFont="1">
      <alignment horizontal="center" readingOrder="0" textRotation="90" vertical="center"/>
    </xf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47" fillId="0" fontId="9" numFmtId="0" xfId="0" applyAlignment="1" applyBorder="1" applyFont="1">
      <alignment horizontal="center" readingOrder="0" vertical="center"/>
    </xf>
    <xf borderId="47" fillId="0" fontId="10" numFmtId="0" xfId="0" applyAlignment="1" applyBorder="1" applyFont="1">
      <alignment horizontal="center" readingOrder="0" vertical="center"/>
    </xf>
    <xf borderId="47" fillId="0" fontId="10" numFmtId="0" xfId="0" applyAlignment="1" applyBorder="1" applyFont="1">
      <alignment horizontal="center" vertical="center"/>
    </xf>
    <xf borderId="48" fillId="0" fontId="4" numFmtId="0" xfId="0" applyAlignment="1" applyBorder="1" applyFont="1">
      <alignment horizontal="center" vertical="center"/>
    </xf>
    <xf borderId="49" fillId="0" fontId="2" numFmtId="0" xfId="0" applyBorder="1" applyFont="1"/>
    <xf borderId="50" fillId="0" fontId="2" numFmtId="0" xfId="0" applyBorder="1" applyFont="1"/>
    <xf borderId="47" fillId="0" fontId="11" numFmtId="0" xfId="0" applyAlignment="1" applyBorder="1" applyFont="1">
      <alignment horizontal="center" readingOrder="0" vertical="center"/>
    </xf>
    <xf borderId="47" fillId="0" fontId="4" numFmtId="0" xfId="0" applyAlignment="1" applyBorder="1" applyFont="1">
      <alignment horizontal="center" readingOrder="0" vertical="center"/>
    </xf>
    <xf borderId="47" fillId="12" fontId="11" numFmtId="0" xfId="0" applyAlignment="1" applyBorder="1" applyFill="1" applyFont="1">
      <alignment horizontal="center" vertical="center"/>
    </xf>
    <xf borderId="47" fillId="0" fontId="12" numFmtId="0" xfId="0" applyAlignment="1" applyBorder="1" applyFont="1">
      <alignment horizontal="center" readingOrder="0" vertical="center"/>
    </xf>
    <xf borderId="47" fillId="0" fontId="4" numFmtId="0" xfId="0" applyAlignment="1" applyBorder="1" applyFont="1">
      <alignment horizontal="center" vertical="center"/>
    </xf>
    <xf borderId="47" fillId="0" fontId="4" numFmtId="0" xfId="0" applyBorder="1" applyFont="1"/>
    <xf borderId="47" fillId="9" fontId="1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75"/>
    <col customWidth="1" min="2" max="4" width="3.13"/>
    <col customWidth="1" min="5" max="5" width="0.75"/>
    <col customWidth="1" min="6" max="7" width="3.13"/>
    <col customWidth="1" min="8" max="8" width="0.75"/>
    <col customWidth="1" min="9" max="9" width="3.13"/>
    <col customWidth="1" min="10" max="10" width="0.75"/>
    <col customWidth="1" min="11" max="55" width="3.13"/>
    <col customWidth="1" min="56" max="56" width="0.75"/>
    <col customWidth="1" min="57" max="57" width="3.13"/>
    <col customWidth="1" min="58" max="58" width="0.75"/>
    <col customWidth="1" min="59" max="60" width="3.13"/>
    <col customWidth="1" min="61" max="61" width="0.75"/>
    <col customWidth="1" min="62" max="64" width="3.13"/>
    <col customWidth="1" min="65" max="65" width="0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3"/>
    </row>
    <row r="2">
      <c r="A2" s="4"/>
      <c r="BM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8"/>
    </row>
    <row r="4" ht="3.75" customHeight="1">
      <c r="A4" s="9"/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>
      <c r="A5" s="9"/>
      <c r="B5" s="11"/>
      <c r="C5" s="12"/>
      <c r="D5" s="13"/>
      <c r="E5" s="13"/>
      <c r="F5" s="13"/>
      <c r="G5" s="14" t="s">
        <v>1</v>
      </c>
      <c r="H5" s="13"/>
      <c r="I5" s="13"/>
      <c r="J5" s="13"/>
      <c r="K5" s="13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5" t="s">
        <v>2</v>
      </c>
      <c r="X5" s="16"/>
      <c r="Y5" s="16"/>
      <c r="Z5" s="17"/>
      <c r="AA5" s="18" t="s">
        <v>3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7"/>
      <c r="AN5" s="15" t="s">
        <v>2</v>
      </c>
      <c r="AO5" s="16"/>
      <c r="AP5" s="16"/>
      <c r="AQ5" s="17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9"/>
    </row>
    <row r="6">
      <c r="A6" s="9"/>
      <c r="B6" s="19"/>
      <c r="C6" s="20">
        <v>408.0</v>
      </c>
      <c r="D6" s="21"/>
      <c r="E6" s="22"/>
      <c r="F6" s="23"/>
      <c r="G6" s="23" t="s">
        <v>4</v>
      </c>
      <c r="H6" s="24"/>
      <c r="I6" s="24"/>
      <c r="J6" s="22"/>
      <c r="K6" s="25"/>
      <c r="L6" s="26"/>
      <c r="M6" s="27"/>
      <c r="N6" s="28">
        <v>2.0</v>
      </c>
      <c r="O6" s="28">
        <v>4.0</v>
      </c>
      <c r="P6" s="28">
        <v>6.0</v>
      </c>
      <c r="Q6" s="28">
        <v>8.0</v>
      </c>
      <c r="R6" s="28">
        <v>10.0</v>
      </c>
      <c r="S6" s="28">
        <v>12.0</v>
      </c>
      <c r="T6" s="28">
        <v>14.0</v>
      </c>
      <c r="U6" s="28">
        <v>16.0</v>
      </c>
      <c r="V6" s="28">
        <v>18.0</v>
      </c>
      <c r="W6" s="11"/>
      <c r="X6" s="11"/>
      <c r="Y6" s="11"/>
      <c r="Z6" s="11"/>
      <c r="AA6" s="11"/>
      <c r="AB6" s="11"/>
      <c r="AC6" s="11"/>
      <c r="AD6" s="11"/>
      <c r="AE6" s="11"/>
      <c r="AF6" s="29" t="s">
        <v>5</v>
      </c>
      <c r="AG6" s="16"/>
      <c r="AH6" s="17"/>
      <c r="AI6" s="11"/>
      <c r="AJ6" s="11"/>
      <c r="AK6" s="11"/>
      <c r="AL6" s="11"/>
      <c r="AM6" s="11"/>
      <c r="AN6" s="11"/>
      <c r="AO6" s="11"/>
      <c r="AP6" s="11"/>
      <c r="AQ6" s="11"/>
      <c r="AR6" s="28">
        <v>17.0</v>
      </c>
      <c r="AS6" s="28">
        <v>15.0</v>
      </c>
      <c r="AT6" s="28">
        <v>13.0</v>
      </c>
      <c r="AU6" s="28">
        <v>11.0</v>
      </c>
      <c r="AV6" s="28">
        <v>9.0</v>
      </c>
      <c r="AW6" s="28">
        <v>7.0</v>
      </c>
      <c r="AX6" s="28">
        <v>5.0</v>
      </c>
      <c r="AY6" s="28">
        <v>3.0</v>
      </c>
      <c r="AZ6" s="28">
        <v>1.0</v>
      </c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9"/>
    </row>
    <row r="7">
      <c r="A7" s="9"/>
      <c r="B7" s="19"/>
      <c r="C7" s="30">
        <v>93.0</v>
      </c>
      <c r="D7" s="17"/>
      <c r="E7" s="19"/>
      <c r="F7" s="11"/>
      <c r="G7" s="27" t="s">
        <v>6</v>
      </c>
      <c r="H7" s="11"/>
      <c r="I7" s="11"/>
      <c r="J7" s="26"/>
      <c r="K7" s="31"/>
      <c r="L7" s="26"/>
      <c r="M7" s="27"/>
      <c r="N7" s="11"/>
      <c r="O7" s="28">
        <v>2.0</v>
      </c>
      <c r="P7" s="28">
        <v>4.0</v>
      </c>
      <c r="Q7" s="28">
        <v>6.0</v>
      </c>
      <c r="R7" s="28">
        <v>8.0</v>
      </c>
      <c r="S7" s="28">
        <v>10.0</v>
      </c>
      <c r="T7" s="28">
        <v>12.0</v>
      </c>
      <c r="U7" s="28">
        <v>14.0</v>
      </c>
      <c r="V7" s="28">
        <v>16.0</v>
      </c>
      <c r="W7" s="28">
        <v>18.0</v>
      </c>
      <c r="X7" s="28">
        <v>20.0</v>
      </c>
      <c r="Y7" s="28">
        <v>22.0</v>
      </c>
      <c r="Z7" s="28">
        <v>24.0</v>
      </c>
      <c r="AA7" s="28">
        <v>26.0</v>
      </c>
      <c r="AB7" s="28">
        <v>28.0</v>
      </c>
      <c r="AC7" s="28">
        <v>30.0</v>
      </c>
      <c r="AD7" s="28">
        <v>32.0</v>
      </c>
      <c r="AE7" s="11"/>
      <c r="AF7" s="29" t="s">
        <v>7</v>
      </c>
      <c r="AG7" s="16"/>
      <c r="AH7" s="17"/>
      <c r="AI7" s="11"/>
      <c r="AJ7" s="28">
        <v>31.0</v>
      </c>
      <c r="AK7" s="28">
        <v>29.0</v>
      </c>
      <c r="AL7" s="28">
        <v>27.0</v>
      </c>
      <c r="AM7" s="28">
        <v>25.0</v>
      </c>
      <c r="AN7" s="28">
        <v>23.0</v>
      </c>
      <c r="AO7" s="28">
        <v>21.0</v>
      </c>
      <c r="AP7" s="28">
        <v>19.0</v>
      </c>
      <c r="AQ7" s="28">
        <v>17.0</v>
      </c>
      <c r="AR7" s="28">
        <v>15.0</v>
      </c>
      <c r="AS7" s="28">
        <v>13.0</v>
      </c>
      <c r="AT7" s="28">
        <v>11.0</v>
      </c>
      <c r="AU7" s="28">
        <v>9.0</v>
      </c>
      <c r="AV7" s="28">
        <v>7.0</v>
      </c>
      <c r="AW7" s="28">
        <v>5.0</v>
      </c>
      <c r="AX7" s="28">
        <v>3.0</v>
      </c>
      <c r="AY7" s="28">
        <v>1.0</v>
      </c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9"/>
    </row>
    <row r="8">
      <c r="A8" s="9"/>
      <c r="B8" s="19"/>
      <c r="C8" s="32">
        <v>204.0</v>
      </c>
      <c r="D8" s="17"/>
      <c r="E8" s="11"/>
      <c r="F8" s="33"/>
      <c r="G8" s="34" t="s">
        <v>8</v>
      </c>
      <c r="H8" s="33"/>
      <c r="I8" s="33"/>
      <c r="J8" s="11"/>
      <c r="K8" s="31"/>
      <c r="L8" s="26"/>
      <c r="M8" s="27"/>
      <c r="N8" s="28">
        <v>2.0</v>
      </c>
      <c r="O8" s="28">
        <v>4.0</v>
      </c>
      <c r="P8" s="28">
        <v>6.0</v>
      </c>
      <c r="Q8" s="28">
        <v>8.0</v>
      </c>
      <c r="R8" s="28">
        <v>10.0</v>
      </c>
      <c r="S8" s="28">
        <v>12.0</v>
      </c>
      <c r="T8" s="28">
        <v>14.0</v>
      </c>
      <c r="U8" s="28">
        <v>16.0</v>
      </c>
      <c r="V8" s="28">
        <v>18.0</v>
      </c>
      <c r="W8" s="28">
        <v>20.0</v>
      </c>
      <c r="X8" s="28">
        <v>22.0</v>
      </c>
      <c r="Y8" s="28">
        <v>24.0</v>
      </c>
      <c r="Z8" s="28">
        <v>26.0</v>
      </c>
      <c r="AA8" s="28">
        <v>28.0</v>
      </c>
      <c r="AB8" s="28">
        <v>30.0</v>
      </c>
      <c r="AC8" s="28">
        <v>32.0</v>
      </c>
      <c r="AD8" s="11"/>
      <c r="AE8" s="11"/>
      <c r="AF8" s="29" t="s">
        <v>9</v>
      </c>
      <c r="AG8" s="16"/>
      <c r="AH8" s="17"/>
      <c r="AI8" s="11"/>
      <c r="AJ8" s="11"/>
      <c r="AK8" s="28">
        <v>31.0</v>
      </c>
      <c r="AL8" s="28">
        <v>29.0</v>
      </c>
      <c r="AM8" s="28">
        <v>27.0</v>
      </c>
      <c r="AN8" s="28">
        <v>25.0</v>
      </c>
      <c r="AO8" s="28">
        <v>23.0</v>
      </c>
      <c r="AP8" s="28">
        <v>21.0</v>
      </c>
      <c r="AQ8" s="28">
        <v>19.0</v>
      </c>
      <c r="AR8" s="28">
        <v>17.0</v>
      </c>
      <c r="AS8" s="28">
        <v>15.0</v>
      </c>
      <c r="AT8" s="28">
        <v>13.0</v>
      </c>
      <c r="AU8" s="28">
        <v>11.0</v>
      </c>
      <c r="AV8" s="28">
        <v>9.0</v>
      </c>
      <c r="AW8" s="28">
        <v>7.0</v>
      </c>
      <c r="AX8" s="28">
        <v>5.0</v>
      </c>
      <c r="AY8" s="28">
        <v>3.0</v>
      </c>
      <c r="AZ8" s="28">
        <v>1.0</v>
      </c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9"/>
    </row>
    <row r="9">
      <c r="A9" s="9"/>
      <c r="B9" s="19"/>
      <c r="C9" s="35"/>
      <c r="D9" s="36"/>
      <c r="E9" s="37"/>
      <c r="F9" s="37"/>
      <c r="G9" s="38" t="s">
        <v>10</v>
      </c>
      <c r="H9" s="37"/>
      <c r="I9" s="37"/>
      <c r="J9" s="37"/>
      <c r="K9" s="39"/>
      <c r="L9" s="26"/>
      <c r="M9" s="27"/>
      <c r="N9" s="11"/>
      <c r="O9" s="28">
        <v>2.0</v>
      </c>
      <c r="P9" s="28">
        <v>4.0</v>
      </c>
      <c r="Q9" s="28">
        <v>6.0</v>
      </c>
      <c r="R9" s="28">
        <v>8.0</v>
      </c>
      <c r="S9" s="28">
        <v>10.0</v>
      </c>
      <c r="T9" s="28">
        <v>12.0</v>
      </c>
      <c r="U9" s="28">
        <v>14.0</v>
      </c>
      <c r="V9" s="28">
        <v>16.0</v>
      </c>
      <c r="W9" s="28">
        <v>18.0</v>
      </c>
      <c r="X9" s="28">
        <v>20.0</v>
      </c>
      <c r="Y9" s="28">
        <v>22.0</v>
      </c>
      <c r="Z9" s="28">
        <v>24.0</v>
      </c>
      <c r="AA9" s="28">
        <v>26.0</v>
      </c>
      <c r="AB9" s="28">
        <v>28.0</v>
      </c>
      <c r="AC9" s="28">
        <v>30.0</v>
      </c>
      <c r="AD9" s="28">
        <v>32.0</v>
      </c>
      <c r="AE9" s="11"/>
      <c r="AF9" s="29" t="s">
        <v>11</v>
      </c>
      <c r="AG9" s="16"/>
      <c r="AH9" s="17"/>
      <c r="AI9" s="11"/>
      <c r="AJ9" s="28">
        <v>31.0</v>
      </c>
      <c r="AK9" s="28">
        <v>29.0</v>
      </c>
      <c r="AL9" s="28">
        <v>27.0</v>
      </c>
      <c r="AM9" s="28">
        <v>25.0</v>
      </c>
      <c r="AN9" s="28">
        <v>23.0</v>
      </c>
      <c r="AO9" s="28">
        <v>21.0</v>
      </c>
      <c r="AP9" s="28">
        <v>19.0</v>
      </c>
      <c r="AQ9" s="28">
        <v>17.0</v>
      </c>
      <c r="AR9" s="28">
        <v>15.0</v>
      </c>
      <c r="AS9" s="28">
        <v>13.0</v>
      </c>
      <c r="AT9" s="28">
        <v>11.0</v>
      </c>
      <c r="AU9" s="28">
        <v>9.0</v>
      </c>
      <c r="AV9" s="28">
        <v>7.0</v>
      </c>
      <c r="AW9" s="28">
        <v>5.0</v>
      </c>
      <c r="AX9" s="28">
        <v>3.0</v>
      </c>
      <c r="AY9" s="28">
        <v>1.0</v>
      </c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9"/>
    </row>
    <row r="10">
      <c r="A10" s="9"/>
      <c r="B10" s="11"/>
      <c r="C10" s="40" t="s">
        <v>12</v>
      </c>
      <c r="I10" s="41"/>
      <c r="J10" s="33"/>
      <c r="K10" s="33"/>
      <c r="L10" s="11"/>
      <c r="M10" s="27"/>
      <c r="N10" s="27"/>
      <c r="O10" s="28">
        <v>2.0</v>
      </c>
      <c r="P10" s="28">
        <v>4.0</v>
      </c>
      <c r="Q10" s="28">
        <v>6.0</v>
      </c>
      <c r="R10" s="28">
        <v>8.0</v>
      </c>
      <c r="S10" s="28">
        <v>10.0</v>
      </c>
      <c r="T10" s="28">
        <v>12.0</v>
      </c>
      <c r="U10" s="28">
        <v>14.0</v>
      </c>
      <c r="V10" s="28">
        <v>16.0</v>
      </c>
      <c r="W10" s="28">
        <v>18.0</v>
      </c>
      <c r="X10" s="28">
        <v>20.0</v>
      </c>
      <c r="Y10" s="28">
        <v>22.0</v>
      </c>
      <c r="Z10" s="28">
        <v>24.0</v>
      </c>
      <c r="AA10" s="28">
        <v>26.0</v>
      </c>
      <c r="AB10" s="28">
        <v>28.0</v>
      </c>
      <c r="AC10" s="28">
        <v>30.0</v>
      </c>
      <c r="AD10" s="11"/>
      <c r="AE10" s="11"/>
      <c r="AF10" s="29" t="s">
        <v>13</v>
      </c>
      <c r="AG10" s="16"/>
      <c r="AH10" s="17"/>
      <c r="AI10" s="11"/>
      <c r="AJ10" s="11"/>
      <c r="AK10" s="28">
        <v>29.0</v>
      </c>
      <c r="AL10" s="28">
        <v>27.0</v>
      </c>
      <c r="AM10" s="28">
        <v>25.0</v>
      </c>
      <c r="AN10" s="28">
        <v>23.0</v>
      </c>
      <c r="AO10" s="28">
        <v>21.0</v>
      </c>
      <c r="AP10" s="28">
        <v>19.0</v>
      </c>
      <c r="AQ10" s="28">
        <v>17.0</v>
      </c>
      <c r="AR10" s="28">
        <v>15.0</v>
      </c>
      <c r="AS10" s="28">
        <v>13.0</v>
      </c>
      <c r="AT10" s="28">
        <v>11.0</v>
      </c>
      <c r="AU10" s="28">
        <v>9.0</v>
      </c>
      <c r="AV10" s="28">
        <v>7.0</v>
      </c>
      <c r="AW10" s="28">
        <v>5.0</v>
      </c>
      <c r="AX10" s="28">
        <v>3.0</v>
      </c>
      <c r="AY10" s="28">
        <v>1.0</v>
      </c>
      <c r="AZ10" s="11"/>
      <c r="BA10" s="11"/>
      <c r="BB10" s="11"/>
      <c r="BC10" s="11"/>
      <c r="BD10" s="11"/>
      <c r="BE10" s="42" t="s">
        <v>12</v>
      </c>
      <c r="BF10" s="43"/>
      <c r="BG10" s="43"/>
      <c r="BH10" s="43"/>
      <c r="BI10" s="43"/>
      <c r="BJ10" s="44"/>
      <c r="BK10" s="11"/>
      <c r="BL10" s="11"/>
      <c r="BM10" s="9"/>
    </row>
    <row r="11">
      <c r="A11" s="9"/>
      <c r="B11" s="11"/>
      <c r="C11" s="45"/>
      <c r="D11" s="46"/>
      <c r="E11" s="46"/>
      <c r="F11" s="46"/>
      <c r="G11" s="46"/>
      <c r="H11" s="46"/>
      <c r="I11" s="47"/>
      <c r="J11" s="11"/>
      <c r="K11" s="11"/>
      <c r="L11" s="11"/>
      <c r="M11" s="27"/>
      <c r="N11" s="11"/>
      <c r="O11" s="11"/>
      <c r="P11" s="28">
        <v>2.0</v>
      </c>
      <c r="Q11" s="28">
        <v>4.0</v>
      </c>
      <c r="R11" s="28">
        <v>6.0</v>
      </c>
      <c r="S11" s="28">
        <v>8.0</v>
      </c>
      <c r="T11" s="28">
        <v>10.0</v>
      </c>
      <c r="U11" s="28">
        <v>12.0</v>
      </c>
      <c r="V11" s="28">
        <v>14.0</v>
      </c>
      <c r="W11" s="28">
        <v>16.0</v>
      </c>
      <c r="X11" s="28">
        <v>18.0</v>
      </c>
      <c r="Y11" s="28">
        <v>20.0</v>
      </c>
      <c r="Z11" s="28">
        <v>22.0</v>
      </c>
      <c r="AA11" s="28">
        <v>24.0</v>
      </c>
      <c r="AB11" s="28">
        <v>26.0</v>
      </c>
      <c r="AC11" s="28">
        <v>28.0</v>
      </c>
      <c r="AD11" s="28">
        <v>30.0</v>
      </c>
      <c r="AE11" s="11"/>
      <c r="AF11" s="29" t="s">
        <v>14</v>
      </c>
      <c r="AG11" s="16"/>
      <c r="AH11" s="17"/>
      <c r="AI11" s="11"/>
      <c r="AJ11" s="28">
        <v>29.0</v>
      </c>
      <c r="AK11" s="28">
        <v>27.0</v>
      </c>
      <c r="AL11" s="28">
        <v>25.0</v>
      </c>
      <c r="AM11" s="28">
        <v>23.0</v>
      </c>
      <c r="AN11" s="28">
        <v>21.0</v>
      </c>
      <c r="AO11" s="28">
        <v>19.0</v>
      </c>
      <c r="AP11" s="28">
        <v>17.0</v>
      </c>
      <c r="AQ11" s="28">
        <v>15.0</v>
      </c>
      <c r="AR11" s="28">
        <v>13.0</v>
      </c>
      <c r="AS11" s="28">
        <v>11.0</v>
      </c>
      <c r="AT11" s="28">
        <v>9.0</v>
      </c>
      <c r="AU11" s="28">
        <v>7.0</v>
      </c>
      <c r="AV11" s="28">
        <v>5.0</v>
      </c>
      <c r="AW11" s="28">
        <v>3.0</v>
      </c>
      <c r="AX11" s="28">
        <v>1.0</v>
      </c>
      <c r="AY11" s="11"/>
      <c r="AZ11" s="11"/>
      <c r="BA11" s="11"/>
      <c r="BB11" s="11"/>
      <c r="BC11" s="11"/>
      <c r="BD11" s="11"/>
      <c r="BE11" s="45"/>
      <c r="BF11" s="46"/>
      <c r="BG11" s="46"/>
      <c r="BH11" s="46"/>
      <c r="BI11" s="46"/>
      <c r="BJ11" s="47"/>
      <c r="BK11" s="11"/>
      <c r="BL11" s="11"/>
      <c r="BM11" s="9"/>
    </row>
    <row r="12">
      <c r="A12" s="9"/>
      <c r="B12" s="11"/>
      <c r="C12" s="11"/>
      <c r="D12" s="11"/>
      <c r="E12" s="11"/>
      <c r="F12" s="11"/>
      <c r="G12" s="26"/>
      <c r="H12" s="11"/>
      <c r="I12" s="11"/>
      <c r="J12" s="11"/>
      <c r="K12" s="11"/>
      <c r="L12" s="11"/>
      <c r="M12" s="11"/>
      <c r="N12" s="11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9"/>
    </row>
    <row r="13" ht="3.75" customHeight="1">
      <c r="A13" s="9"/>
      <c r="B13" s="11"/>
      <c r="C13" s="49"/>
      <c r="D13" s="1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1"/>
      <c r="BK13" s="49"/>
      <c r="BL13" s="11"/>
      <c r="BM13" s="9"/>
    </row>
    <row r="14">
      <c r="A14" s="9"/>
      <c r="B14" s="11"/>
      <c r="C14" s="11"/>
      <c r="D14" s="11"/>
      <c r="E14" s="9"/>
      <c r="F14" s="11"/>
      <c r="G14" s="11"/>
      <c r="H14" s="11"/>
      <c r="I14" s="11"/>
      <c r="J14" s="9"/>
      <c r="K14" s="11"/>
      <c r="L14" s="19"/>
      <c r="M14" s="50" t="s">
        <v>3</v>
      </c>
      <c r="N14" s="26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51">
        <v>2.0</v>
      </c>
      <c r="Z14" s="51">
        <v>4.0</v>
      </c>
      <c r="AA14" s="51">
        <v>6.0</v>
      </c>
      <c r="AB14" s="51">
        <v>8.0</v>
      </c>
      <c r="AC14" s="51">
        <v>10.0</v>
      </c>
      <c r="AD14" s="51">
        <v>12.0</v>
      </c>
      <c r="AE14" s="51">
        <v>14.0</v>
      </c>
      <c r="AF14" s="52" t="s">
        <v>15</v>
      </c>
      <c r="AG14" s="16"/>
      <c r="AH14" s="17"/>
      <c r="AI14" s="51">
        <v>13.0</v>
      </c>
      <c r="AJ14" s="51">
        <v>11.0</v>
      </c>
      <c r="AK14" s="51">
        <v>9.0</v>
      </c>
      <c r="AL14" s="51">
        <v>7.0</v>
      </c>
      <c r="AM14" s="51">
        <v>5.0</v>
      </c>
      <c r="AN14" s="51">
        <v>3.0</v>
      </c>
      <c r="AO14" s="51">
        <v>1.0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53" t="s">
        <v>3</v>
      </c>
      <c r="BB14" s="11"/>
      <c r="BC14" s="11"/>
      <c r="BD14" s="9"/>
      <c r="BE14" s="11"/>
      <c r="BF14" s="11"/>
      <c r="BG14" s="11"/>
      <c r="BH14" s="11"/>
      <c r="BI14" s="9"/>
      <c r="BJ14" s="11"/>
      <c r="BK14" s="11"/>
      <c r="BL14" s="11"/>
      <c r="BM14" s="9"/>
    </row>
    <row r="15">
      <c r="A15" s="9"/>
      <c r="B15" s="11"/>
      <c r="C15" s="11"/>
      <c r="D15" s="11"/>
      <c r="E15" s="9"/>
      <c r="F15" s="11"/>
      <c r="G15" s="11"/>
      <c r="H15" s="11"/>
      <c r="I15" s="11"/>
      <c r="J15" s="9"/>
      <c r="K15" s="11"/>
      <c r="L15" s="19"/>
      <c r="M15" s="54"/>
      <c r="N15" s="26"/>
      <c r="O15" s="51">
        <v>2.0</v>
      </c>
      <c r="P15" s="51">
        <v>4.0</v>
      </c>
      <c r="Q15" s="51">
        <v>6.0</v>
      </c>
      <c r="R15" s="51">
        <v>8.0</v>
      </c>
      <c r="S15" s="51">
        <v>10.0</v>
      </c>
      <c r="T15" s="51">
        <v>12.0</v>
      </c>
      <c r="U15" s="15" t="s">
        <v>16</v>
      </c>
      <c r="V15" s="17"/>
      <c r="W15" s="51">
        <v>14.0</v>
      </c>
      <c r="X15" s="51">
        <v>16.0</v>
      </c>
      <c r="Y15" s="51">
        <v>18.0</v>
      </c>
      <c r="Z15" s="51">
        <v>20.0</v>
      </c>
      <c r="AA15" s="51">
        <v>22.0</v>
      </c>
      <c r="AB15" s="51">
        <v>24.0</v>
      </c>
      <c r="AC15" s="51">
        <v>26.0</v>
      </c>
      <c r="AD15" s="51">
        <v>28.0</v>
      </c>
      <c r="AE15" s="11"/>
      <c r="AF15" s="52" t="s">
        <v>17</v>
      </c>
      <c r="AG15" s="16"/>
      <c r="AH15" s="17"/>
      <c r="AI15" s="11"/>
      <c r="AJ15" s="51">
        <v>27.0</v>
      </c>
      <c r="AK15" s="51">
        <v>25.0</v>
      </c>
      <c r="AL15" s="51">
        <v>23.0</v>
      </c>
      <c r="AM15" s="51">
        <v>21.0</v>
      </c>
      <c r="AN15" s="51">
        <v>19.0</v>
      </c>
      <c r="AO15" s="51">
        <v>17.0</v>
      </c>
      <c r="AP15" s="51">
        <v>15.0</v>
      </c>
      <c r="AQ15" s="55">
        <v>13.0</v>
      </c>
      <c r="AR15" s="15" t="s">
        <v>16</v>
      </c>
      <c r="AS15" s="17"/>
      <c r="AT15" s="51">
        <v>11.0</v>
      </c>
      <c r="AU15" s="51">
        <v>9.0</v>
      </c>
      <c r="AV15" s="51">
        <v>7.0</v>
      </c>
      <c r="AW15" s="51">
        <v>5.0</v>
      </c>
      <c r="AX15" s="51">
        <v>3.0</v>
      </c>
      <c r="AY15" s="51">
        <v>1.0</v>
      </c>
      <c r="AZ15" s="11"/>
      <c r="BA15" s="54"/>
      <c r="BB15" s="11"/>
      <c r="BC15" s="11"/>
      <c r="BD15" s="9"/>
      <c r="BE15" s="11"/>
      <c r="BF15" s="11"/>
      <c r="BG15" s="11"/>
      <c r="BH15" s="11"/>
      <c r="BI15" s="9"/>
      <c r="BJ15" s="11"/>
      <c r="BK15" s="11"/>
      <c r="BL15" s="11"/>
      <c r="BM15" s="9"/>
    </row>
    <row r="16">
      <c r="A16" s="9"/>
      <c r="B16" s="11"/>
      <c r="C16" s="11"/>
      <c r="D16" s="11"/>
      <c r="E16" s="9"/>
      <c r="F16" s="11"/>
      <c r="G16" s="11"/>
      <c r="H16" s="11"/>
      <c r="I16" s="11"/>
      <c r="J16" s="9"/>
      <c r="K16" s="56" t="s">
        <v>2</v>
      </c>
      <c r="L16" s="19"/>
      <c r="M16" s="54"/>
      <c r="N16" s="26"/>
      <c r="O16" s="11"/>
      <c r="P16" s="11"/>
      <c r="Q16" s="57">
        <v>2.0</v>
      </c>
      <c r="R16" s="57">
        <v>4.0</v>
      </c>
      <c r="S16" s="57">
        <v>6.0</v>
      </c>
      <c r="T16" s="57">
        <v>8.0</v>
      </c>
      <c r="U16" s="57">
        <v>10.0</v>
      </c>
      <c r="V16" s="57">
        <v>12.0</v>
      </c>
      <c r="W16" s="57">
        <v>14.0</v>
      </c>
      <c r="X16" s="57">
        <v>16.0</v>
      </c>
      <c r="Y16" s="57">
        <v>18.0</v>
      </c>
      <c r="Z16" s="57">
        <v>20.0</v>
      </c>
      <c r="AA16" s="57">
        <v>22.0</v>
      </c>
      <c r="AB16" s="57">
        <v>24.0</v>
      </c>
      <c r="AC16" s="57">
        <v>26.0</v>
      </c>
      <c r="AD16" s="57">
        <v>28.0</v>
      </c>
      <c r="AE16" s="11"/>
      <c r="AF16" s="52" t="s">
        <v>18</v>
      </c>
      <c r="AG16" s="16"/>
      <c r="AH16" s="17"/>
      <c r="AI16" s="11"/>
      <c r="AJ16" s="58">
        <v>27.0</v>
      </c>
      <c r="AK16" s="58">
        <v>25.0</v>
      </c>
      <c r="AL16" s="58">
        <v>23.0</v>
      </c>
      <c r="AM16" s="58">
        <v>21.0</v>
      </c>
      <c r="AN16" s="58">
        <v>19.0</v>
      </c>
      <c r="AO16" s="58">
        <v>17.0</v>
      </c>
      <c r="AP16" s="58">
        <v>15.0</v>
      </c>
      <c r="AQ16" s="58">
        <v>13.0</v>
      </c>
      <c r="AR16" s="58">
        <v>11.0</v>
      </c>
      <c r="AS16" s="58">
        <v>9.0</v>
      </c>
      <c r="AT16" s="58">
        <v>7.0</v>
      </c>
      <c r="AU16" s="58">
        <v>5.0</v>
      </c>
      <c r="AV16" s="58">
        <v>3.0</v>
      </c>
      <c r="AW16" s="58">
        <v>1.0</v>
      </c>
      <c r="AX16" s="11"/>
      <c r="AY16" s="11"/>
      <c r="AZ16" s="11"/>
      <c r="BA16" s="54"/>
      <c r="BB16" s="11"/>
      <c r="BC16" s="59" t="s">
        <v>2</v>
      </c>
      <c r="BD16" s="9"/>
      <c r="BE16" s="11"/>
      <c r="BF16" s="11"/>
      <c r="BG16" s="11"/>
      <c r="BH16" s="11"/>
      <c r="BI16" s="9"/>
      <c r="BJ16" s="11"/>
      <c r="BK16" s="11"/>
      <c r="BL16" s="11"/>
      <c r="BM16" s="9"/>
    </row>
    <row r="17">
      <c r="A17" s="9"/>
      <c r="B17" s="11"/>
      <c r="C17" s="11"/>
      <c r="D17" s="11"/>
      <c r="E17" s="9"/>
      <c r="F17" s="11"/>
      <c r="G17" s="11"/>
      <c r="H17" s="11"/>
      <c r="I17" s="11"/>
      <c r="J17" s="9"/>
      <c r="K17" s="60"/>
      <c r="L17" s="19"/>
      <c r="M17" s="54"/>
      <c r="N17" s="26"/>
      <c r="O17" s="11"/>
      <c r="P17" s="57">
        <v>2.0</v>
      </c>
      <c r="Q17" s="57">
        <v>4.0</v>
      </c>
      <c r="R17" s="57">
        <v>6.0</v>
      </c>
      <c r="S17" s="57">
        <v>8.0</v>
      </c>
      <c r="T17" s="57">
        <v>10.0</v>
      </c>
      <c r="U17" s="57">
        <v>12.0</v>
      </c>
      <c r="V17" s="57">
        <v>14.0</v>
      </c>
      <c r="W17" s="57">
        <v>16.0</v>
      </c>
      <c r="X17" s="57">
        <v>18.0</v>
      </c>
      <c r="Y17" s="57">
        <v>20.0</v>
      </c>
      <c r="Z17" s="57">
        <v>22.0</v>
      </c>
      <c r="AA17" s="57">
        <v>24.0</v>
      </c>
      <c r="AB17" s="57">
        <v>26.0</v>
      </c>
      <c r="AC17" s="57">
        <v>28.0</v>
      </c>
      <c r="AD17" s="11"/>
      <c r="AE17" s="11"/>
      <c r="AF17" s="52" t="s">
        <v>19</v>
      </c>
      <c r="AG17" s="16"/>
      <c r="AH17" s="17"/>
      <c r="AI17" s="11"/>
      <c r="AJ17" s="11"/>
      <c r="AK17" s="58">
        <v>27.0</v>
      </c>
      <c r="AL17" s="58">
        <v>25.0</v>
      </c>
      <c r="AM17" s="58">
        <v>23.0</v>
      </c>
      <c r="AN17" s="58">
        <v>21.0</v>
      </c>
      <c r="AO17" s="58">
        <v>19.0</v>
      </c>
      <c r="AP17" s="58">
        <v>17.0</v>
      </c>
      <c r="AQ17" s="58">
        <v>15.0</v>
      </c>
      <c r="AR17" s="58">
        <v>13.0</v>
      </c>
      <c r="AS17" s="58">
        <v>11.0</v>
      </c>
      <c r="AT17" s="58">
        <v>9.0</v>
      </c>
      <c r="AU17" s="58">
        <v>7.0</v>
      </c>
      <c r="AV17" s="58">
        <v>5.0</v>
      </c>
      <c r="AW17" s="58">
        <v>3.0</v>
      </c>
      <c r="AX17" s="58">
        <v>1.0</v>
      </c>
      <c r="AY17" s="11"/>
      <c r="AZ17" s="11"/>
      <c r="BA17" s="54"/>
      <c r="BB17" s="11"/>
      <c r="BC17" s="60"/>
      <c r="BD17" s="9"/>
      <c r="BE17" s="11"/>
      <c r="BF17" s="11"/>
      <c r="BG17" s="11"/>
      <c r="BH17" s="11"/>
      <c r="BI17" s="9"/>
      <c r="BJ17" s="11"/>
      <c r="BK17" s="11"/>
      <c r="BL17" s="11"/>
      <c r="BM17" s="9"/>
    </row>
    <row r="18">
      <c r="A18" s="9"/>
      <c r="B18" s="11"/>
      <c r="C18" s="11"/>
      <c r="D18" s="11"/>
      <c r="E18" s="9"/>
      <c r="F18" s="42" t="s">
        <v>20</v>
      </c>
      <c r="G18" s="43"/>
      <c r="H18" s="43"/>
      <c r="I18" s="44"/>
      <c r="J18" s="9"/>
      <c r="K18" s="11"/>
      <c r="L18" s="19"/>
      <c r="M18" s="60"/>
      <c r="N18" s="26"/>
      <c r="O18" s="57">
        <v>2.0</v>
      </c>
      <c r="P18" s="57">
        <v>4.0</v>
      </c>
      <c r="Q18" s="57">
        <v>6.0</v>
      </c>
      <c r="R18" s="57">
        <v>8.0</v>
      </c>
      <c r="S18" s="57">
        <v>10.0</v>
      </c>
      <c r="T18" s="57">
        <v>12.0</v>
      </c>
      <c r="U18" s="57">
        <v>14.0</v>
      </c>
      <c r="V18" s="57">
        <v>16.0</v>
      </c>
      <c r="W18" s="57">
        <v>18.0</v>
      </c>
      <c r="X18" s="57">
        <v>20.0</v>
      </c>
      <c r="Y18" s="57">
        <v>22.0</v>
      </c>
      <c r="Z18" s="57">
        <v>24.0</v>
      </c>
      <c r="AA18" s="57">
        <v>26.0</v>
      </c>
      <c r="AB18" s="57">
        <v>28.0</v>
      </c>
      <c r="AC18" s="57">
        <v>30.0</v>
      </c>
      <c r="AD18" s="57">
        <v>32.0</v>
      </c>
      <c r="AE18" s="11"/>
      <c r="AF18" s="52" t="s">
        <v>21</v>
      </c>
      <c r="AG18" s="16"/>
      <c r="AH18" s="17"/>
      <c r="AI18" s="11"/>
      <c r="AJ18" s="57">
        <v>31.0</v>
      </c>
      <c r="AK18" s="57">
        <v>29.0</v>
      </c>
      <c r="AL18" s="57">
        <v>27.0</v>
      </c>
      <c r="AM18" s="57">
        <v>25.0</v>
      </c>
      <c r="AN18" s="57">
        <v>23.0</v>
      </c>
      <c r="AO18" s="57">
        <v>21.0</v>
      </c>
      <c r="AP18" s="57">
        <v>19.0</v>
      </c>
      <c r="AQ18" s="57">
        <v>17.0</v>
      </c>
      <c r="AR18" s="57">
        <v>15.0</v>
      </c>
      <c r="AS18" s="57">
        <v>13.0</v>
      </c>
      <c r="AT18" s="57">
        <v>11.0</v>
      </c>
      <c r="AU18" s="57">
        <v>9.0</v>
      </c>
      <c r="AV18" s="57">
        <v>7.0</v>
      </c>
      <c r="AW18" s="57">
        <v>5.0</v>
      </c>
      <c r="AX18" s="57">
        <v>3.0</v>
      </c>
      <c r="AY18" s="57">
        <v>1.0</v>
      </c>
      <c r="AZ18" s="11"/>
      <c r="BA18" s="60"/>
      <c r="BB18" s="11"/>
      <c r="BC18" s="11"/>
      <c r="BD18" s="9"/>
      <c r="BE18" s="42" t="s">
        <v>20</v>
      </c>
      <c r="BF18" s="43"/>
      <c r="BG18" s="43"/>
      <c r="BH18" s="44"/>
      <c r="BI18" s="9"/>
      <c r="BJ18" s="11"/>
      <c r="BK18" s="11"/>
      <c r="BL18" s="11"/>
      <c r="BM18" s="9"/>
    </row>
    <row r="19">
      <c r="A19" s="9"/>
      <c r="B19" s="11"/>
      <c r="C19" s="27"/>
      <c r="D19" s="11"/>
      <c r="E19" s="9"/>
      <c r="F19" s="45"/>
      <c r="G19" s="46"/>
      <c r="H19" s="46"/>
      <c r="I19" s="47"/>
      <c r="J19" s="9"/>
      <c r="K19" s="11"/>
      <c r="L19" s="11"/>
      <c r="M19" s="33"/>
      <c r="N19" s="57">
        <v>2.0</v>
      </c>
      <c r="O19" s="57">
        <v>4.0</v>
      </c>
      <c r="P19" s="57">
        <v>6.0</v>
      </c>
      <c r="Q19" s="57">
        <v>8.0</v>
      </c>
      <c r="R19" s="57">
        <v>10.0</v>
      </c>
      <c r="S19" s="57">
        <v>12.0</v>
      </c>
      <c r="T19" s="57">
        <v>14.0</v>
      </c>
      <c r="U19" s="57">
        <v>16.0</v>
      </c>
      <c r="V19" s="57">
        <v>18.0</v>
      </c>
      <c r="W19" s="57">
        <v>20.0</v>
      </c>
      <c r="X19" s="57">
        <v>22.0</v>
      </c>
      <c r="Y19" s="57">
        <v>24.0</v>
      </c>
      <c r="Z19" s="57">
        <v>26.0</v>
      </c>
      <c r="AA19" s="57">
        <v>28.0</v>
      </c>
      <c r="AB19" s="57">
        <v>30.0</v>
      </c>
      <c r="AC19" s="57">
        <v>32.0</v>
      </c>
      <c r="AD19" s="11"/>
      <c r="AE19" s="11"/>
      <c r="AF19" s="52" t="s">
        <v>22</v>
      </c>
      <c r="AG19" s="16"/>
      <c r="AH19" s="17"/>
      <c r="AI19" s="11"/>
      <c r="AJ19" s="11"/>
      <c r="AK19" s="57">
        <v>31.0</v>
      </c>
      <c r="AL19" s="57">
        <v>29.0</v>
      </c>
      <c r="AM19" s="57">
        <v>27.0</v>
      </c>
      <c r="AN19" s="57">
        <v>25.0</v>
      </c>
      <c r="AO19" s="57">
        <v>23.0</v>
      </c>
      <c r="AP19" s="57">
        <v>21.0</v>
      </c>
      <c r="AQ19" s="57">
        <v>19.0</v>
      </c>
      <c r="AR19" s="57">
        <v>17.0</v>
      </c>
      <c r="AS19" s="57">
        <v>15.0</v>
      </c>
      <c r="AT19" s="57">
        <v>13.0</v>
      </c>
      <c r="AU19" s="57">
        <v>11.0</v>
      </c>
      <c r="AV19" s="57">
        <v>9.0</v>
      </c>
      <c r="AW19" s="57">
        <v>7.0</v>
      </c>
      <c r="AX19" s="57">
        <v>5.0</v>
      </c>
      <c r="AY19" s="57">
        <v>3.0</v>
      </c>
      <c r="AZ19" s="57">
        <v>1.0</v>
      </c>
      <c r="BA19" s="11"/>
      <c r="BB19" s="11"/>
      <c r="BC19" s="11"/>
      <c r="BD19" s="9"/>
      <c r="BE19" s="45"/>
      <c r="BF19" s="46"/>
      <c r="BG19" s="46"/>
      <c r="BH19" s="47"/>
      <c r="BI19" s="9"/>
      <c r="BJ19" s="11"/>
      <c r="BK19" s="61"/>
      <c r="BL19" s="11"/>
      <c r="BM19" s="9"/>
    </row>
    <row r="20">
      <c r="A20" s="9"/>
      <c r="B20" s="11"/>
      <c r="C20" s="27"/>
      <c r="D20" s="11"/>
      <c r="E20" s="9"/>
      <c r="F20" s="11"/>
      <c r="G20" s="11"/>
      <c r="H20" s="11"/>
      <c r="I20" s="11"/>
      <c r="J20" s="9"/>
      <c r="K20" s="11"/>
      <c r="L20" s="11"/>
      <c r="M20" s="11"/>
      <c r="N20" s="11"/>
      <c r="O20" s="58">
        <v>2.0</v>
      </c>
      <c r="P20" s="58">
        <v>4.0</v>
      </c>
      <c r="Q20" s="58">
        <v>6.0</v>
      </c>
      <c r="R20" s="58">
        <v>8.0</v>
      </c>
      <c r="S20" s="58">
        <v>10.0</v>
      </c>
      <c r="T20" s="58">
        <v>12.0</v>
      </c>
      <c r="U20" s="58">
        <v>14.0</v>
      </c>
      <c r="V20" s="58">
        <v>16.0</v>
      </c>
      <c r="W20" s="58">
        <v>18.0</v>
      </c>
      <c r="X20" s="58">
        <v>20.0</v>
      </c>
      <c r="Y20" s="58">
        <v>22.0</v>
      </c>
      <c r="Z20" s="58">
        <v>24.0</v>
      </c>
      <c r="AA20" s="58">
        <v>26.0</v>
      </c>
      <c r="AB20" s="58">
        <v>28.0</v>
      </c>
      <c r="AC20" s="58">
        <v>30.0</v>
      </c>
      <c r="AD20" s="58">
        <v>32.0</v>
      </c>
      <c r="AE20" s="11"/>
      <c r="AF20" s="52" t="s">
        <v>23</v>
      </c>
      <c r="AG20" s="16"/>
      <c r="AH20" s="17"/>
      <c r="AI20" s="11"/>
      <c r="AJ20" s="58">
        <v>31.0</v>
      </c>
      <c r="AK20" s="58">
        <v>29.0</v>
      </c>
      <c r="AL20" s="58">
        <v>27.0</v>
      </c>
      <c r="AM20" s="58">
        <v>25.0</v>
      </c>
      <c r="AN20" s="58">
        <v>23.0</v>
      </c>
      <c r="AO20" s="58">
        <v>21.0</v>
      </c>
      <c r="AP20" s="58">
        <v>19.0</v>
      </c>
      <c r="AQ20" s="58">
        <v>17.0</v>
      </c>
      <c r="AR20" s="58">
        <v>15.0</v>
      </c>
      <c r="AS20" s="58">
        <v>13.0</v>
      </c>
      <c r="AT20" s="58">
        <v>11.0</v>
      </c>
      <c r="AU20" s="58">
        <v>9.0</v>
      </c>
      <c r="AV20" s="58">
        <v>7.0</v>
      </c>
      <c r="AW20" s="58">
        <v>5.0</v>
      </c>
      <c r="AX20" s="58">
        <v>3.0</v>
      </c>
      <c r="AY20" s="58">
        <v>1.0</v>
      </c>
      <c r="AZ20" s="11"/>
      <c r="BA20" s="11"/>
      <c r="BB20" s="11"/>
      <c r="BC20" s="11"/>
      <c r="BD20" s="9"/>
      <c r="BE20" s="13"/>
      <c r="BF20" s="13"/>
      <c r="BG20" s="13"/>
      <c r="BH20" s="11"/>
      <c r="BI20" s="9"/>
      <c r="BJ20" s="11"/>
      <c r="BK20" s="61"/>
      <c r="BL20" s="11"/>
      <c r="BM20" s="9"/>
    </row>
    <row r="21">
      <c r="A21" s="9"/>
      <c r="B21" s="11"/>
      <c r="C21" s="27"/>
      <c r="D21" s="11"/>
      <c r="E21" s="9"/>
      <c r="F21" s="62" t="s">
        <v>24</v>
      </c>
      <c r="G21" s="62" t="s">
        <v>25</v>
      </c>
      <c r="H21" s="11"/>
      <c r="I21" s="11"/>
      <c r="J21" s="9"/>
      <c r="K21" s="11"/>
      <c r="L21" s="11"/>
      <c r="M21" s="11"/>
      <c r="N21" s="58">
        <v>2.0</v>
      </c>
      <c r="O21" s="58">
        <v>4.0</v>
      </c>
      <c r="P21" s="58">
        <v>6.0</v>
      </c>
      <c r="Q21" s="58">
        <v>8.0</v>
      </c>
      <c r="R21" s="58">
        <v>10.0</v>
      </c>
      <c r="S21" s="58">
        <v>12.0</v>
      </c>
      <c r="T21" s="58">
        <v>14.0</v>
      </c>
      <c r="U21" s="58">
        <v>16.0</v>
      </c>
      <c r="V21" s="58">
        <v>18.0</v>
      </c>
      <c r="W21" s="58">
        <v>20.0</v>
      </c>
      <c r="X21" s="58">
        <v>22.0</v>
      </c>
      <c r="Y21" s="58">
        <v>24.0</v>
      </c>
      <c r="Z21" s="58">
        <v>26.0</v>
      </c>
      <c r="AA21" s="58">
        <v>28.0</v>
      </c>
      <c r="AB21" s="58">
        <v>30.0</v>
      </c>
      <c r="AC21" s="58">
        <v>32.0</v>
      </c>
      <c r="AD21" s="11"/>
      <c r="AE21" s="11"/>
      <c r="AF21" s="52" t="s">
        <v>26</v>
      </c>
      <c r="AG21" s="16"/>
      <c r="AH21" s="17"/>
      <c r="AI21" s="11"/>
      <c r="AJ21" s="11"/>
      <c r="AK21" s="58">
        <v>31.0</v>
      </c>
      <c r="AL21" s="58">
        <v>29.0</v>
      </c>
      <c r="AM21" s="58">
        <v>27.0</v>
      </c>
      <c r="AN21" s="58">
        <v>25.0</v>
      </c>
      <c r="AO21" s="58">
        <v>23.0</v>
      </c>
      <c r="AP21" s="58">
        <v>21.0</v>
      </c>
      <c r="AQ21" s="58">
        <v>19.0</v>
      </c>
      <c r="AR21" s="58">
        <v>17.0</v>
      </c>
      <c r="AS21" s="58">
        <v>15.0</v>
      </c>
      <c r="AT21" s="58">
        <v>13.0</v>
      </c>
      <c r="AU21" s="58">
        <v>11.0</v>
      </c>
      <c r="AV21" s="58">
        <v>9.0</v>
      </c>
      <c r="AW21" s="58">
        <v>7.0</v>
      </c>
      <c r="AX21" s="58">
        <v>5.0</v>
      </c>
      <c r="AY21" s="58">
        <v>3.0</v>
      </c>
      <c r="AZ21" s="58">
        <v>1.0</v>
      </c>
      <c r="BA21" s="11"/>
      <c r="BB21" s="11"/>
      <c r="BC21" s="11"/>
      <c r="BD21" s="9"/>
      <c r="BE21" s="63"/>
      <c r="BF21" s="63"/>
      <c r="BG21" s="64" t="s">
        <v>27</v>
      </c>
      <c r="BH21" s="65" t="s">
        <v>28</v>
      </c>
      <c r="BI21" s="9"/>
      <c r="BJ21" s="11"/>
      <c r="BK21" s="61"/>
      <c r="BL21" s="11"/>
      <c r="BM21" s="9"/>
    </row>
    <row r="22">
      <c r="A22" s="9"/>
      <c r="B22" s="11"/>
      <c r="C22" s="27"/>
      <c r="D22" s="11"/>
      <c r="E22" s="9"/>
      <c r="F22" s="60"/>
      <c r="G22" s="60"/>
      <c r="H22" s="11"/>
      <c r="I22" s="11"/>
      <c r="J22" s="9"/>
      <c r="K22" s="11"/>
      <c r="L22" s="11"/>
      <c r="M22" s="11"/>
      <c r="N22" s="11"/>
      <c r="O22" s="58">
        <v>2.0</v>
      </c>
      <c r="P22" s="58">
        <v>4.0</v>
      </c>
      <c r="Q22" s="58">
        <v>6.0</v>
      </c>
      <c r="R22" s="58">
        <v>8.0</v>
      </c>
      <c r="S22" s="58">
        <v>10.0</v>
      </c>
      <c r="T22" s="58">
        <v>12.0</v>
      </c>
      <c r="U22" s="58">
        <v>14.0</v>
      </c>
      <c r="V22" s="58">
        <v>16.0</v>
      </c>
      <c r="W22" s="58">
        <v>18.0</v>
      </c>
      <c r="X22" s="58">
        <v>20.0</v>
      </c>
      <c r="Y22" s="58">
        <v>22.0</v>
      </c>
      <c r="Z22" s="58">
        <v>24.0</v>
      </c>
      <c r="AA22" s="58">
        <v>26.0</v>
      </c>
      <c r="AB22" s="58">
        <v>28.0</v>
      </c>
      <c r="AC22" s="58">
        <v>30.0</v>
      </c>
      <c r="AD22" s="58">
        <v>32.0</v>
      </c>
      <c r="AE22" s="11"/>
      <c r="AF22" s="52" t="s">
        <v>5</v>
      </c>
      <c r="AG22" s="16"/>
      <c r="AH22" s="17"/>
      <c r="AI22" s="11"/>
      <c r="AJ22" s="58">
        <v>31.0</v>
      </c>
      <c r="AK22" s="58">
        <v>29.0</v>
      </c>
      <c r="AL22" s="58">
        <v>27.0</v>
      </c>
      <c r="AM22" s="58">
        <v>25.0</v>
      </c>
      <c r="AN22" s="58">
        <v>23.0</v>
      </c>
      <c r="AO22" s="58">
        <v>21.0</v>
      </c>
      <c r="AP22" s="58">
        <v>19.0</v>
      </c>
      <c r="AQ22" s="58">
        <v>17.0</v>
      </c>
      <c r="AR22" s="58">
        <v>15.0</v>
      </c>
      <c r="AS22" s="58">
        <v>13.0</v>
      </c>
      <c r="AT22" s="58">
        <v>11.0</v>
      </c>
      <c r="AU22" s="58">
        <v>9.0</v>
      </c>
      <c r="AV22" s="58">
        <v>7.0</v>
      </c>
      <c r="AW22" s="58">
        <v>5.0</v>
      </c>
      <c r="AX22" s="58">
        <v>3.0</v>
      </c>
      <c r="AY22" s="58">
        <v>1.0</v>
      </c>
      <c r="AZ22" s="11"/>
      <c r="BA22" s="11"/>
      <c r="BB22" s="11"/>
      <c r="BC22" s="11"/>
      <c r="BD22" s="9"/>
      <c r="BE22" s="11"/>
      <c r="BF22" s="11"/>
      <c r="BG22" s="60"/>
      <c r="BH22" s="47"/>
      <c r="BI22" s="9"/>
      <c r="BJ22" s="11"/>
      <c r="BK22" s="61"/>
      <c r="BL22" s="11"/>
      <c r="BM22" s="9"/>
    </row>
    <row r="23" ht="3.75" customHeight="1">
      <c r="A23" s="9"/>
      <c r="B23" s="11"/>
      <c r="C23" s="11"/>
      <c r="D23" s="11"/>
      <c r="E23" s="9"/>
      <c r="F23" s="9"/>
      <c r="G23" s="66"/>
      <c r="H23" s="9"/>
      <c r="I23" s="11"/>
      <c r="J23" s="9"/>
      <c r="K23" s="11"/>
      <c r="L23" s="11"/>
      <c r="M23" s="11"/>
      <c r="N23" s="11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11"/>
      <c r="BA23" s="11"/>
      <c r="BB23" s="11"/>
      <c r="BC23" s="11"/>
      <c r="BD23" s="9"/>
      <c r="BE23" s="33"/>
      <c r="BF23" s="9"/>
      <c r="BG23" s="66"/>
      <c r="BH23" s="9"/>
      <c r="BI23" s="9"/>
      <c r="BJ23" s="11"/>
      <c r="BK23" s="11"/>
      <c r="BL23" s="11"/>
      <c r="BM23" s="9"/>
    </row>
    <row r="24">
      <c r="A24" s="9"/>
      <c r="B24" s="11"/>
      <c r="C24" s="61"/>
      <c r="D24" s="11"/>
      <c r="E24" s="9"/>
      <c r="F24" s="11"/>
      <c r="G24" s="51">
        <v>36.0</v>
      </c>
      <c r="H24" s="9"/>
      <c r="I24" s="11"/>
      <c r="J24" s="9"/>
      <c r="K24" s="11"/>
      <c r="L24" s="11"/>
      <c r="M24" s="11"/>
      <c r="N24" s="58">
        <v>2.0</v>
      </c>
      <c r="O24" s="58">
        <v>4.0</v>
      </c>
      <c r="P24" s="58">
        <v>6.0</v>
      </c>
      <c r="Q24" s="58">
        <v>8.0</v>
      </c>
      <c r="R24" s="58">
        <v>10.0</v>
      </c>
      <c r="S24" s="58">
        <v>12.0</v>
      </c>
      <c r="T24" s="58">
        <v>14.0</v>
      </c>
      <c r="U24" s="58">
        <v>16.0</v>
      </c>
      <c r="V24" s="58">
        <v>18.0</v>
      </c>
      <c r="W24" s="58">
        <v>20.0</v>
      </c>
      <c r="X24" s="58">
        <v>22.0</v>
      </c>
      <c r="Y24" s="58">
        <v>24.0</v>
      </c>
      <c r="Z24" s="58">
        <v>26.0</v>
      </c>
      <c r="AA24" s="58">
        <v>28.0</v>
      </c>
      <c r="AB24" s="58">
        <v>30.0</v>
      </c>
      <c r="AC24" s="58">
        <v>32.0</v>
      </c>
      <c r="AD24" s="11"/>
      <c r="AE24" s="11"/>
      <c r="AF24" s="52" t="s">
        <v>7</v>
      </c>
      <c r="AG24" s="16"/>
      <c r="AH24" s="17"/>
      <c r="AI24" s="11"/>
      <c r="AJ24" s="11"/>
      <c r="AK24" s="58">
        <v>31.0</v>
      </c>
      <c r="AL24" s="58">
        <v>29.0</v>
      </c>
      <c r="AM24" s="58">
        <v>27.0</v>
      </c>
      <c r="AN24" s="58">
        <v>25.0</v>
      </c>
      <c r="AO24" s="58">
        <v>23.0</v>
      </c>
      <c r="AP24" s="58">
        <v>21.0</v>
      </c>
      <c r="AQ24" s="58">
        <v>19.0</v>
      </c>
      <c r="AR24" s="58">
        <v>17.0</v>
      </c>
      <c r="AS24" s="58">
        <v>15.0</v>
      </c>
      <c r="AT24" s="58">
        <v>13.0</v>
      </c>
      <c r="AU24" s="58">
        <v>11.0</v>
      </c>
      <c r="AV24" s="58">
        <v>9.0</v>
      </c>
      <c r="AW24" s="58">
        <v>7.0</v>
      </c>
      <c r="AX24" s="58">
        <v>5.0</v>
      </c>
      <c r="AY24" s="58">
        <v>3.0</v>
      </c>
      <c r="AZ24" s="58">
        <v>1.0</v>
      </c>
      <c r="BA24" s="11"/>
      <c r="BB24" s="11"/>
      <c r="BC24" s="11"/>
      <c r="BD24" s="9"/>
      <c r="BE24" s="11"/>
      <c r="BF24" s="9"/>
      <c r="BG24" s="51">
        <v>35.0</v>
      </c>
      <c r="BH24" s="11"/>
      <c r="BI24" s="9"/>
      <c r="BJ24" s="11"/>
      <c r="BK24" s="27"/>
      <c r="BL24" s="11"/>
      <c r="BM24" s="9"/>
    </row>
    <row r="25">
      <c r="A25" s="9"/>
      <c r="B25" s="11"/>
      <c r="C25" s="28">
        <v>2.0</v>
      </c>
      <c r="D25" s="11"/>
      <c r="E25" s="9"/>
      <c r="F25" s="51">
        <v>16.0</v>
      </c>
      <c r="G25" s="51">
        <v>34.0</v>
      </c>
      <c r="H25" s="9"/>
      <c r="I25" s="11"/>
      <c r="J25" s="9"/>
      <c r="K25" s="11"/>
      <c r="L25" s="11"/>
      <c r="M25" s="11"/>
      <c r="N25" s="11"/>
      <c r="O25" s="58">
        <v>2.0</v>
      </c>
      <c r="P25" s="58">
        <v>4.0</v>
      </c>
      <c r="Q25" s="58">
        <v>6.0</v>
      </c>
      <c r="R25" s="58">
        <v>8.0</v>
      </c>
      <c r="S25" s="58">
        <v>10.0</v>
      </c>
      <c r="T25" s="58">
        <v>12.0</v>
      </c>
      <c r="U25" s="58">
        <v>14.0</v>
      </c>
      <c r="V25" s="58">
        <v>16.0</v>
      </c>
      <c r="W25" s="58">
        <v>18.0</v>
      </c>
      <c r="X25" s="58">
        <v>20.0</v>
      </c>
      <c r="Y25" s="58">
        <v>22.0</v>
      </c>
      <c r="Z25" s="58">
        <v>24.0</v>
      </c>
      <c r="AA25" s="58">
        <v>26.0</v>
      </c>
      <c r="AB25" s="58">
        <v>28.0</v>
      </c>
      <c r="AC25" s="58">
        <v>30.0</v>
      </c>
      <c r="AD25" s="58">
        <v>32.0</v>
      </c>
      <c r="AE25" s="11"/>
      <c r="AF25" s="52" t="s">
        <v>9</v>
      </c>
      <c r="AG25" s="16"/>
      <c r="AH25" s="17"/>
      <c r="AI25" s="11"/>
      <c r="AJ25" s="58">
        <v>31.0</v>
      </c>
      <c r="AK25" s="58">
        <v>29.0</v>
      </c>
      <c r="AL25" s="58">
        <v>27.0</v>
      </c>
      <c r="AM25" s="58">
        <v>25.0</v>
      </c>
      <c r="AN25" s="58">
        <v>23.0</v>
      </c>
      <c r="AO25" s="58">
        <v>21.0</v>
      </c>
      <c r="AP25" s="58">
        <v>19.0</v>
      </c>
      <c r="AQ25" s="58">
        <v>17.0</v>
      </c>
      <c r="AR25" s="58">
        <v>15.0</v>
      </c>
      <c r="AS25" s="58">
        <v>13.0</v>
      </c>
      <c r="AT25" s="58">
        <v>11.0</v>
      </c>
      <c r="AU25" s="58">
        <v>9.0</v>
      </c>
      <c r="AV25" s="58">
        <v>7.0</v>
      </c>
      <c r="AW25" s="58">
        <v>5.0</v>
      </c>
      <c r="AX25" s="58">
        <v>3.0</v>
      </c>
      <c r="AY25" s="58">
        <v>1.0</v>
      </c>
      <c r="AZ25" s="11"/>
      <c r="BA25" s="11"/>
      <c r="BB25" s="11"/>
      <c r="BC25" s="11"/>
      <c r="BD25" s="9"/>
      <c r="BE25" s="11"/>
      <c r="BF25" s="9"/>
      <c r="BG25" s="51">
        <v>33.0</v>
      </c>
      <c r="BH25" s="51">
        <v>15.0</v>
      </c>
      <c r="BI25" s="9"/>
      <c r="BJ25" s="11"/>
      <c r="BK25" s="28">
        <v>1.0</v>
      </c>
      <c r="BL25" s="11"/>
      <c r="BM25" s="9"/>
    </row>
    <row r="26">
      <c r="A26" s="9"/>
      <c r="B26" s="11"/>
      <c r="C26" s="28">
        <v>4.0</v>
      </c>
      <c r="D26" s="11"/>
      <c r="E26" s="9"/>
      <c r="F26" s="51">
        <v>14.0</v>
      </c>
      <c r="G26" s="51">
        <v>32.0</v>
      </c>
      <c r="H26" s="9"/>
      <c r="I26" s="11"/>
      <c r="J26" s="9"/>
      <c r="K26" s="11"/>
      <c r="L26" s="11"/>
      <c r="M26" s="11"/>
      <c r="N26" s="58">
        <v>2.0</v>
      </c>
      <c r="O26" s="58">
        <v>4.0</v>
      </c>
      <c r="P26" s="58">
        <v>6.0</v>
      </c>
      <c r="Q26" s="58">
        <v>8.0</v>
      </c>
      <c r="R26" s="58">
        <v>10.0</v>
      </c>
      <c r="S26" s="58">
        <v>12.0</v>
      </c>
      <c r="T26" s="58">
        <v>14.0</v>
      </c>
      <c r="U26" s="58">
        <v>16.0</v>
      </c>
      <c r="V26" s="58">
        <v>18.0</v>
      </c>
      <c r="W26" s="58">
        <v>20.0</v>
      </c>
      <c r="X26" s="58">
        <v>22.0</v>
      </c>
      <c r="Y26" s="58">
        <v>24.0</v>
      </c>
      <c r="Z26" s="58">
        <v>26.0</v>
      </c>
      <c r="AA26" s="58">
        <v>28.0</v>
      </c>
      <c r="AB26" s="58">
        <v>30.0</v>
      </c>
      <c r="AC26" s="58">
        <v>32.0</v>
      </c>
      <c r="AD26" s="11"/>
      <c r="AE26" s="11"/>
      <c r="AF26" s="52" t="s">
        <v>11</v>
      </c>
      <c r="AG26" s="16"/>
      <c r="AH26" s="17"/>
      <c r="AI26" s="11"/>
      <c r="AJ26" s="11"/>
      <c r="AK26" s="58">
        <v>31.0</v>
      </c>
      <c r="AL26" s="58">
        <v>29.0</v>
      </c>
      <c r="AM26" s="58">
        <v>27.0</v>
      </c>
      <c r="AN26" s="58">
        <v>25.0</v>
      </c>
      <c r="AO26" s="58">
        <v>23.0</v>
      </c>
      <c r="AP26" s="58">
        <v>21.0</v>
      </c>
      <c r="AQ26" s="58">
        <v>19.0</v>
      </c>
      <c r="AR26" s="58">
        <v>17.0</v>
      </c>
      <c r="AS26" s="58">
        <v>15.0</v>
      </c>
      <c r="AT26" s="58">
        <v>13.0</v>
      </c>
      <c r="AU26" s="58">
        <v>11.0</v>
      </c>
      <c r="AV26" s="58">
        <v>9.0</v>
      </c>
      <c r="AW26" s="58">
        <v>7.0</v>
      </c>
      <c r="AX26" s="58">
        <v>5.0</v>
      </c>
      <c r="AY26" s="58">
        <v>3.0</v>
      </c>
      <c r="AZ26" s="58">
        <v>1.0</v>
      </c>
      <c r="BA26" s="11"/>
      <c r="BB26" s="11"/>
      <c r="BC26" s="11"/>
      <c r="BD26" s="9"/>
      <c r="BE26" s="11"/>
      <c r="BF26" s="9"/>
      <c r="BG26" s="51">
        <v>31.0</v>
      </c>
      <c r="BH26" s="51">
        <v>13.0</v>
      </c>
      <c r="BI26" s="9"/>
      <c r="BJ26" s="11"/>
      <c r="BK26" s="28">
        <v>3.0</v>
      </c>
      <c r="BL26" s="11"/>
      <c r="BM26" s="9"/>
    </row>
    <row r="27">
      <c r="A27" s="9"/>
      <c r="B27" s="11"/>
      <c r="C27" s="28">
        <v>6.0</v>
      </c>
      <c r="D27" s="11"/>
      <c r="E27" s="9"/>
      <c r="F27" s="51">
        <v>12.0</v>
      </c>
      <c r="G27" s="51">
        <v>30.0</v>
      </c>
      <c r="H27" s="9"/>
      <c r="I27" s="11"/>
      <c r="J27" s="9"/>
      <c r="K27" s="11"/>
      <c r="L27" s="11"/>
      <c r="M27" s="11"/>
      <c r="N27" s="11"/>
      <c r="O27" s="58">
        <v>2.0</v>
      </c>
      <c r="P27" s="58">
        <v>4.0</v>
      </c>
      <c r="Q27" s="58">
        <v>6.0</v>
      </c>
      <c r="R27" s="58">
        <v>8.0</v>
      </c>
      <c r="S27" s="58">
        <v>10.0</v>
      </c>
      <c r="T27" s="58">
        <v>12.0</v>
      </c>
      <c r="U27" s="58">
        <v>14.0</v>
      </c>
      <c r="V27" s="58">
        <v>16.0</v>
      </c>
      <c r="W27" s="58">
        <v>18.0</v>
      </c>
      <c r="X27" s="58">
        <v>20.0</v>
      </c>
      <c r="Y27" s="58">
        <v>22.0</v>
      </c>
      <c r="Z27" s="58">
        <v>24.0</v>
      </c>
      <c r="AA27" s="58">
        <v>26.0</v>
      </c>
      <c r="AB27" s="58">
        <v>28.0</v>
      </c>
      <c r="AC27" s="58">
        <v>30.0</v>
      </c>
      <c r="AD27" s="58">
        <v>32.0</v>
      </c>
      <c r="AE27" s="11"/>
      <c r="AF27" s="52" t="s">
        <v>13</v>
      </c>
      <c r="AG27" s="16"/>
      <c r="AH27" s="17"/>
      <c r="AI27" s="11"/>
      <c r="AJ27" s="58">
        <v>31.0</v>
      </c>
      <c r="AK27" s="58">
        <v>29.0</v>
      </c>
      <c r="AL27" s="58">
        <v>27.0</v>
      </c>
      <c r="AM27" s="58">
        <v>25.0</v>
      </c>
      <c r="AN27" s="58">
        <v>23.0</v>
      </c>
      <c r="AO27" s="58">
        <v>21.0</v>
      </c>
      <c r="AP27" s="58">
        <v>19.0</v>
      </c>
      <c r="AQ27" s="58">
        <v>17.0</v>
      </c>
      <c r="AR27" s="58">
        <v>15.0</v>
      </c>
      <c r="AS27" s="58">
        <v>13.0</v>
      </c>
      <c r="AT27" s="58">
        <v>11.0</v>
      </c>
      <c r="AU27" s="58">
        <v>9.0</v>
      </c>
      <c r="AV27" s="58">
        <v>7.0</v>
      </c>
      <c r="AW27" s="58">
        <v>5.0</v>
      </c>
      <c r="AX27" s="58">
        <v>3.0</v>
      </c>
      <c r="AY27" s="58">
        <v>1.0</v>
      </c>
      <c r="AZ27" s="11"/>
      <c r="BA27" s="11"/>
      <c r="BB27" s="11"/>
      <c r="BC27" s="11"/>
      <c r="BD27" s="9"/>
      <c r="BE27" s="11"/>
      <c r="BF27" s="9"/>
      <c r="BG27" s="51">
        <v>29.0</v>
      </c>
      <c r="BH27" s="51">
        <v>11.0</v>
      </c>
      <c r="BI27" s="9"/>
      <c r="BJ27" s="11"/>
      <c r="BK27" s="28">
        <v>5.0</v>
      </c>
      <c r="BL27" s="11"/>
      <c r="BM27" s="9"/>
    </row>
    <row r="28">
      <c r="A28" s="9"/>
      <c r="B28" s="11"/>
      <c r="C28" s="28">
        <v>8.0</v>
      </c>
      <c r="D28" s="11"/>
      <c r="E28" s="9"/>
      <c r="F28" s="51">
        <v>10.0</v>
      </c>
      <c r="G28" s="51">
        <v>28.0</v>
      </c>
      <c r="H28" s="9"/>
      <c r="I28" s="11"/>
      <c r="J28" s="9"/>
      <c r="K28" s="11"/>
      <c r="L28" s="11"/>
      <c r="M28" s="11"/>
      <c r="N28" s="58">
        <v>2.0</v>
      </c>
      <c r="O28" s="58">
        <v>4.0</v>
      </c>
      <c r="P28" s="58">
        <v>6.0</v>
      </c>
      <c r="Q28" s="58">
        <v>8.0</v>
      </c>
      <c r="R28" s="58">
        <v>10.0</v>
      </c>
      <c r="S28" s="58">
        <v>12.0</v>
      </c>
      <c r="T28" s="58">
        <v>14.0</v>
      </c>
      <c r="U28" s="58">
        <v>16.0</v>
      </c>
      <c r="V28" s="58">
        <v>18.0</v>
      </c>
      <c r="W28" s="58">
        <v>20.0</v>
      </c>
      <c r="X28" s="58">
        <v>22.0</v>
      </c>
      <c r="Y28" s="58">
        <v>24.0</v>
      </c>
      <c r="Z28" s="58">
        <v>26.0</v>
      </c>
      <c r="AA28" s="58">
        <v>28.0</v>
      </c>
      <c r="AB28" s="58">
        <v>30.0</v>
      </c>
      <c r="AC28" s="58">
        <v>32.0</v>
      </c>
      <c r="AD28" s="11"/>
      <c r="AE28" s="11"/>
      <c r="AF28" s="52" t="s">
        <v>14</v>
      </c>
      <c r="AG28" s="16"/>
      <c r="AH28" s="17"/>
      <c r="AI28" s="11"/>
      <c r="AJ28" s="11"/>
      <c r="AK28" s="58">
        <v>31.0</v>
      </c>
      <c r="AL28" s="58">
        <v>29.0</v>
      </c>
      <c r="AM28" s="58">
        <v>27.0</v>
      </c>
      <c r="AN28" s="58">
        <v>25.0</v>
      </c>
      <c r="AO28" s="58">
        <v>23.0</v>
      </c>
      <c r="AP28" s="58">
        <v>21.0</v>
      </c>
      <c r="AQ28" s="58">
        <v>19.0</v>
      </c>
      <c r="AR28" s="58">
        <v>17.0</v>
      </c>
      <c r="AS28" s="58">
        <v>15.0</v>
      </c>
      <c r="AT28" s="58">
        <v>13.0</v>
      </c>
      <c r="AU28" s="58">
        <v>11.0</v>
      </c>
      <c r="AV28" s="58">
        <v>9.0</v>
      </c>
      <c r="AW28" s="58">
        <v>7.0</v>
      </c>
      <c r="AX28" s="58">
        <v>5.0</v>
      </c>
      <c r="AY28" s="58">
        <v>3.0</v>
      </c>
      <c r="AZ28" s="58">
        <v>1.0</v>
      </c>
      <c r="BA28" s="11"/>
      <c r="BB28" s="11"/>
      <c r="BC28" s="11"/>
      <c r="BD28" s="9"/>
      <c r="BE28" s="11"/>
      <c r="BF28" s="9"/>
      <c r="BG28" s="51">
        <v>27.0</v>
      </c>
      <c r="BH28" s="51">
        <v>9.0</v>
      </c>
      <c r="BI28" s="9"/>
      <c r="BJ28" s="11"/>
      <c r="BK28" s="28">
        <v>7.0</v>
      </c>
      <c r="BL28" s="11"/>
      <c r="BM28" s="9"/>
    </row>
    <row r="29">
      <c r="A29" s="9"/>
      <c r="B29" s="11"/>
      <c r="C29" s="28">
        <v>10.0</v>
      </c>
      <c r="D29" s="11"/>
      <c r="E29" s="9"/>
      <c r="F29" s="51">
        <v>8.0</v>
      </c>
      <c r="G29" s="51">
        <v>26.0</v>
      </c>
      <c r="H29" s="9"/>
      <c r="I29" s="11"/>
      <c r="J29" s="9"/>
      <c r="K29" s="11"/>
      <c r="L29" s="11"/>
      <c r="M29" s="11"/>
      <c r="N29" s="11"/>
      <c r="O29" s="58">
        <v>2.0</v>
      </c>
      <c r="P29" s="58">
        <v>4.0</v>
      </c>
      <c r="Q29" s="58">
        <v>6.0</v>
      </c>
      <c r="R29" s="58">
        <v>8.0</v>
      </c>
      <c r="S29" s="58">
        <v>10.0</v>
      </c>
      <c r="T29" s="58">
        <v>12.0</v>
      </c>
      <c r="U29" s="58">
        <v>14.0</v>
      </c>
      <c r="V29" s="58">
        <v>16.0</v>
      </c>
      <c r="W29" s="58">
        <v>18.0</v>
      </c>
      <c r="X29" s="58">
        <v>20.0</v>
      </c>
      <c r="Y29" s="58">
        <v>22.0</v>
      </c>
      <c r="Z29" s="58">
        <v>24.0</v>
      </c>
      <c r="AA29" s="58">
        <v>26.0</v>
      </c>
      <c r="AB29" s="58">
        <v>28.0</v>
      </c>
      <c r="AC29" s="58">
        <v>30.0</v>
      </c>
      <c r="AD29" s="58">
        <v>32.0</v>
      </c>
      <c r="AE29" s="11"/>
      <c r="AF29" s="52" t="s">
        <v>29</v>
      </c>
      <c r="AG29" s="16"/>
      <c r="AH29" s="17"/>
      <c r="AI29" s="11"/>
      <c r="AJ29" s="58">
        <v>31.0</v>
      </c>
      <c r="AK29" s="58">
        <v>29.0</v>
      </c>
      <c r="AL29" s="58">
        <v>27.0</v>
      </c>
      <c r="AM29" s="58">
        <v>25.0</v>
      </c>
      <c r="AN29" s="58">
        <v>23.0</v>
      </c>
      <c r="AO29" s="58">
        <v>21.0</v>
      </c>
      <c r="AP29" s="58">
        <v>19.0</v>
      </c>
      <c r="AQ29" s="58">
        <v>17.0</v>
      </c>
      <c r="AR29" s="58">
        <v>15.0</v>
      </c>
      <c r="AS29" s="58">
        <v>13.0</v>
      </c>
      <c r="AT29" s="58">
        <v>11.0</v>
      </c>
      <c r="AU29" s="58">
        <v>9.0</v>
      </c>
      <c r="AV29" s="58">
        <v>7.0</v>
      </c>
      <c r="AW29" s="58">
        <v>5.0</v>
      </c>
      <c r="AX29" s="58">
        <v>3.0</v>
      </c>
      <c r="AY29" s="58">
        <v>1.0</v>
      </c>
      <c r="AZ29" s="11"/>
      <c r="BA29" s="11"/>
      <c r="BB29" s="11"/>
      <c r="BC29" s="11"/>
      <c r="BD29" s="9"/>
      <c r="BE29" s="11"/>
      <c r="BF29" s="9"/>
      <c r="BG29" s="51">
        <v>25.0</v>
      </c>
      <c r="BH29" s="51">
        <v>7.0</v>
      </c>
      <c r="BI29" s="9"/>
      <c r="BJ29" s="11"/>
      <c r="BK29" s="28">
        <v>9.0</v>
      </c>
      <c r="BL29" s="11"/>
      <c r="BM29" s="9"/>
    </row>
    <row r="30">
      <c r="A30" s="9"/>
      <c r="B30" s="11"/>
      <c r="C30" s="28">
        <v>12.0</v>
      </c>
      <c r="D30" s="11"/>
      <c r="E30" s="9"/>
      <c r="F30" s="51">
        <v>6.0</v>
      </c>
      <c r="G30" s="51">
        <v>24.0</v>
      </c>
      <c r="H30" s="9"/>
      <c r="I30" s="11"/>
      <c r="J30" s="9"/>
      <c r="K30" s="56" t="s">
        <v>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42" t="s">
        <v>30</v>
      </c>
      <c r="AD30" s="43"/>
      <c r="AE30" s="43"/>
      <c r="AF30" s="43"/>
      <c r="AG30" s="43"/>
      <c r="AH30" s="43"/>
      <c r="AI30" s="43"/>
      <c r="AJ30" s="43"/>
      <c r="AK30" s="44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59" t="s">
        <v>2</v>
      </c>
      <c r="BD30" s="9"/>
      <c r="BE30" s="11"/>
      <c r="BF30" s="9"/>
      <c r="BG30" s="51">
        <v>23.0</v>
      </c>
      <c r="BH30" s="51">
        <v>5.0</v>
      </c>
      <c r="BI30" s="9"/>
      <c r="BJ30" s="11"/>
      <c r="BK30" s="28">
        <v>11.0</v>
      </c>
      <c r="BL30" s="11"/>
      <c r="BM30" s="9"/>
    </row>
    <row r="31">
      <c r="A31" s="9"/>
      <c r="B31" s="11"/>
      <c r="C31" s="28">
        <v>14.0</v>
      </c>
      <c r="D31" s="11"/>
      <c r="E31" s="9"/>
      <c r="F31" s="51">
        <v>4.0</v>
      </c>
      <c r="G31" s="51">
        <v>22.0</v>
      </c>
      <c r="H31" s="9"/>
      <c r="I31" s="11"/>
      <c r="J31" s="9"/>
      <c r="K31" s="60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68"/>
      <c r="AK31" s="41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1"/>
      <c r="AW31" s="11"/>
      <c r="AX31" s="11"/>
      <c r="AY31" s="11"/>
      <c r="AZ31" s="11"/>
      <c r="BA31" s="11"/>
      <c r="BB31" s="11"/>
      <c r="BC31" s="60"/>
      <c r="BD31" s="9"/>
      <c r="BE31" s="11"/>
      <c r="BF31" s="9"/>
      <c r="BG31" s="51">
        <v>21.0</v>
      </c>
      <c r="BH31" s="51">
        <v>3.0</v>
      </c>
      <c r="BI31" s="9"/>
      <c r="BJ31" s="11"/>
      <c r="BK31" s="28">
        <v>13.0</v>
      </c>
      <c r="BL31" s="11"/>
      <c r="BM31" s="9"/>
    </row>
    <row r="32">
      <c r="A32" s="9"/>
      <c r="B32" s="11"/>
      <c r="C32" s="28">
        <v>16.0</v>
      </c>
      <c r="D32" s="11"/>
      <c r="E32" s="9"/>
      <c r="F32" s="11"/>
      <c r="G32" s="51">
        <v>20.0</v>
      </c>
      <c r="H32" s="9"/>
      <c r="I32" s="11"/>
      <c r="J32" s="9"/>
      <c r="K32" s="11"/>
      <c r="L32" s="11"/>
      <c r="M32" s="11"/>
      <c r="N32" s="11"/>
      <c r="O32" s="11"/>
      <c r="P32" s="11"/>
      <c r="Q32" s="11"/>
      <c r="R32" s="1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26"/>
      <c r="AW32" s="11"/>
      <c r="AX32" s="11"/>
      <c r="AY32" s="11"/>
      <c r="AZ32" s="11"/>
      <c r="BA32" s="11"/>
      <c r="BB32" s="11"/>
      <c r="BC32" s="11"/>
      <c r="BD32" s="9"/>
      <c r="BE32" s="11"/>
      <c r="BF32" s="9"/>
      <c r="BG32" s="51">
        <v>19.0</v>
      </c>
      <c r="BH32" s="11"/>
      <c r="BI32" s="9"/>
      <c r="BJ32" s="11"/>
      <c r="BK32" s="28">
        <v>15.0</v>
      </c>
      <c r="BL32" s="11"/>
      <c r="BM32" s="9"/>
    </row>
    <row r="33">
      <c r="A33" s="9"/>
      <c r="B33" s="11"/>
      <c r="C33" s="28">
        <v>18.0</v>
      </c>
      <c r="D33" s="11"/>
      <c r="E33" s="9"/>
      <c r="F33" s="50" t="s">
        <v>16</v>
      </c>
      <c r="G33" s="51">
        <v>18.0</v>
      </c>
      <c r="H33" s="9"/>
      <c r="I33" s="11"/>
      <c r="J33" s="9"/>
      <c r="K33" s="11"/>
      <c r="L33" s="11"/>
      <c r="M33" s="11"/>
      <c r="N33" s="11"/>
      <c r="O33" s="11"/>
      <c r="P33" s="11"/>
      <c r="Q33" s="11"/>
      <c r="R33" s="1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26"/>
      <c r="AW33" s="11"/>
      <c r="AX33" s="11"/>
      <c r="AY33" s="11"/>
      <c r="AZ33" s="11"/>
      <c r="BA33" s="11"/>
      <c r="BB33" s="11"/>
      <c r="BC33" s="11"/>
      <c r="BD33" s="9"/>
      <c r="BE33" s="11"/>
      <c r="BF33" s="9"/>
      <c r="BG33" s="51">
        <v>17.0</v>
      </c>
      <c r="BH33" s="53" t="s">
        <v>16</v>
      </c>
      <c r="BI33" s="9"/>
      <c r="BJ33" s="11"/>
      <c r="BK33" s="28">
        <v>17.0</v>
      </c>
      <c r="BL33" s="11"/>
      <c r="BM33" s="9"/>
    </row>
    <row r="34">
      <c r="A34" s="9"/>
      <c r="B34" s="11"/>
      <c r="C34" s="28">
        <v>20.0</v>
      </c>
      <c r="D34" s="11"/>
      <c r="E34" s="9"/>
      <c r="F34" s="60"/>
      <c r="G34" s="51">
        <v>16.0</v>
      </c>
      <c r="H34" s="9"/>
      <c r="I34" s="11"/>
      <c r="J34" s="9"/>
      <c r="K34" s="13"/>
      <c r="L34" s="13"/>
      <c r="M34" s="13"/>
      <c r="N34" s="13"/>
      <c r="O34" s="13"/>
      <c r="P34" s="13"/>
      <c r="Q34" s="13"/>
      <c r="R34" s="70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71"/>
      <c r="AW34" s="13"/>
      <c r="AX34" s="13"/>
      <c r="AY34" s="13"/>
      <c r="AZ34" s="13"/>
      <c r="BA34" s="13"/>
      <c r="BB34" s="13"/>
      <c r="BC34" s="13"/>
      <c r="BD34" s="9"/>
      <c r="BE34" s="11"/>
      <c r="BF34" s="9"/>
      <c r="BG34" s="51">
        <v>15.0</v>
      </c>
      <c r="BH34" s="60"/>
      <c r="BI34" s="9"/>
      <c r="BJ34" s="11"/>
      <c r="BK34" s="28">
        <v>19.0</v>
      </c>
      <c r="BL34" s="11"/>
      <c r="BM34" s="9"/>
    </row>
    <row r="35">
      <c r="A35" s="9"/>
      <c r="B35" s="11"/>
      <c r="C35" s="28">
        <v>22.0</v>
      </c>
      <c r="D35" s="11"/>
      <c r="E35" s="9"/>
      <c r="F35" s="48"/>
      <c r="G35" s="51">
        <v>14.0</v>
      </c>
      <c r="H35" s="9"/>
      <c r="I35" s="11"/>
      <c r="J35" s="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9"/>
      <c r="BE35" s="11"/>
      <c r="BF35" s="9"/>
      <c r="BG35" s="51">
        <v>13.0</v>
      </c>
      <c r="BH35" s="11"/>
      <c r="BI35" s="9"/>
      <c r="BJ35" s="11"/>
      <c r="BK35" s="28">
        <v>21.0</v>
      </c>
      <c r="BL35" s="11"/>
      <c r="BM35" s="9"/>
    </row>
    <row r="36">
      <c r="A36" s="9"/>
      <c r="B36" s="11"/>
      <c r="C36" s="28">
        <v>24.0</v>
      </c>
      <c r="D36" s="11"/>
      <c r="E36" s="9"/>
      <c r="F36" s="51">
        <v>2.0</v>
      </c>
      <c r="G36" s="51">
        <v>12.0</v>
      </c>
      <c r="H36" s="9"/>
      <c r="I36" s="11"/>
      <c r="J36" s="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72" t="s">
        <v>31</v>
      </c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4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9"/>
      <c r="BE36" s="11"/>
      <c r="BF36" s="9"/>
      <c r="BG36" s="51">
        <v>11.0</v>
      </c>
      <c r="BH36" s="51">
        <v>1.0</v>
      </c>
      <c r="BI36" s="9"/>
      <c r="BJ36" s="11"/>
      <c r="BK36" s="28">
        <v>23.0</v>
      </c>
      <c r="BL36" s="11"/>
      <c r="BM36" s="9"/>
    </row>
    <row r="37">
      <c r="A37" s="9"/>
      <c r="B37" s="50" t="s">
        <v>2</v>
      </c>
      <c r="C37" s="11"/>
      <c r="D37" s="11"/>
      <c r="E37" s="9"/>
      <c r="F37" s="50" t="s">
        <v>2</v>
      </c>
      <c r="G37" s="51">
        <v>10.0</v>
      </c>
      <c r="H37" s="9"/>
      <c r="I37" s="11"/>
      <c r="J37" s="9"/>
      <c r="K37" s="75" t="s">
        <v>2</v>
      </c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76"/>
      <c r="AM37" s="77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78" t="s">
        <v>2</v>
      </c>
      <c r="BD37" s="9"/>
      <c r="BE37" s="11"/>
      <c r="BF37" s="9"/>
      <c r="BG37" s="51">
        <v>9.0</v>
      </c>
      <c r="BH37" s="53" t="s">
        <v>2</v>
      </c>
      <c r="BI37" s="9"/>
      <c r="BJ37" s="11"/>
      <c r="BK37" s="11"/>
      <c r="BL37" s="53" t="s">
        <v>2</v>
      </c>
      <c r="BM37" s="9"/>
    </row>
    <row r="38">
      <c r="A38" s="9"/>
      <c r="B38" s="54"/>
      <c r="C38" s="11"/>
      <c r="D38" s="11"/>
      <c r="E38" s="9"/>
      <c r="F38" s="54"/>
      <c r="G38" s="11"/>
      <c r="H38" s="9"/>
      <c r="I38" s="11"/>
      <c r="J38" s="9"/>
      <c r="K38" s="7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76"/>
      <c r="AM38" s="77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79"/>
      <c r="BD38" s="9"/>
      <c r="BE38" s="11"/>
      <c r="BF38" s="9"/>
      <c r="BG38" s="11"/>
      <c r="BH38" s="54"/>
      <c r="BI38" s="9"/>
      <c r="BJ38" s="11"/>
      <c r="BK38" s="11"/>
      <c r="BL38" s="54"/>
      <c r="BM38" s="9"/>
    </row>
    <row r="39">
      <c r="A39" s="9"/>
      <c r="B39" s="60"/>
      <c r="C39" s="11"/>
      <c r="D39" s="11"/>
      <c r="E39" s="9"/>
      <c r="F39" s="60"/>
      <c r="G39" s="51">
        <v>8.0</v>
      </c>
      <c r="H39" s="9"/>
      <c r="I39" s="11"/>
      <c r="J39" s="9"/>
      <c r="K39" s="80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76"/>
      <c r="AM39" s="77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80"/>
      <c r="BD39" s="9"/>
      <c r="BE39" s="11"/>
      <c r="BF39" s="9"/>
      <c r="BG39" s="51">
        <v>7.0</v>
      </c>
      <c r="BH39" s="60"/>
      <c r="BI39" s="9"/>
      <c r="BJ39" s="11"/>
      <c r="BK39" s="11"/>
      <c r="BL39" s="60"/>
      <c r="BM39" s="9"/>
    </row>
    <row r="40">
      <c r="A40" s="9"/>
      <c r="B40" s="11"/>
      <c r="C40" s="28">
        <v>26.0</v>
      </c>
      <c r="D40" s="11"/>
      <c r="E40" s="9"/>
      <c r="F40" s="11"/>
      <c r="G40" s="51">
        <v>6.0</v>
      </c>
      <c r="H40" s="9"/>
      <c r="I40" s="11"/>
      <c r="J40" s="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76"/>
      <c r="AM40" s="77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9"/>
      <c r="BE40" s="11"/>
      <c r="BF40" s="9"/>
      <c r="BG40" s="51">
        <v>5.0</v>
      </c>
      <c r="BH40" s="11"/>
      <c r="BI40" s="9"/>
      <c r="BJ40" s="11"/>
      <c r="BK40" s="28">
        <v>25.0</v>
      </c>
      <c r="BL40" s="11"/>
      <c r="BM40" s="9"/>
    </row>
    <row r="41">
      <c r="A41" s="9"/>
      <c r="B41" s="11"/>
      <c r="C41" s="28">
        <v>28.0</v>
      </c>
      <c r="D41" s="11"/>
      <c r="E41" s="9"/>
      <c r="F41" s="11"/>
      <c r="G41" s="51">
        <v>4.0</v>
      </c>
      <c r="H41" s="9"/>
      <c r="I41" s="11"/>
      <c r="J41" s="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81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3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9"/>
      <c r="BE41" s="11"/>
      <c r="BF41" s="9"/>
      <c r="BG41" s="51">
        <v>3.0</v>
      </c>
      <c r="BH41" s="11"/>
      <c r="BI41" s="9"/>
      <c r="BJ41" s="11"/>
      <c r="BK41" s="28">
        <v>27.0</v>
      </c>
      <c r="BL41" s="11"/>
      <c r="BM41" s="9"/>
    </row>
    <row r="42">
      <c r="A42" s="9"/>
      <c r="B42" s="11"/>
      <c r="C42" s="28">
        <v>30.0</v>
      </c>
      <c r="D42" s="11"/>
      <c r="E42" s="9"/>
      <c r="F42" s="11"/>
      <c r="G42" s="51">
        <v>2.0</v>
      </c>
      <c r="H42" s="9"/>
      <c r="I42" s="11"/>
      <c r="J42" s="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9"/>
      <c r="BE42" s="11"/>
      <c r="BF42" s="9"/>
      <c r="BG42" s="51">
        <v>1.0</v>
      </c>
      <c r="BH42" s="11"/>
      <c r="BI42" s="9"/>
      <c r="BJ42" s="11"/>
      <c r="BK42" s="28">
        <v>29.0</v>
      </c>
      <c r="BL42" s="11"/>
      <c r="BM42" s="9"/>
    </row>
    <row r="43" ht="3.75" customHeight="1">
      <c r="A43" s="9"/>
      <c r="B43" s="11"/>
      <c r="C43" s="11"/>
      <c r="D43" s="11"/>
      <c r="E43" s="9"/>
      <c r="F43" s="9"/>
      <c r="G43" s="9"/>
      <c r="H43" s="9"/>
      <c r="I43" s="11"/>
      <c r="J43" s="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9"/>
      <c r="BE43" s="11"/>
      <c r="BF43" s="9"/>
      <c r="BG43" s="9"/>
      <c r="BH43" s="9"/>
      <c r="BI43" s="9"/>
      <c r="BJ43" s="11"/>
      <c r="BK43" s="11"/>
      <c r="BL43" s="11"/>
      <c r="BM43" s="9"/>
    </row>
    <row r="44">
      <c r="A44" s="9"/>
      <c r="B44" s="11"/>
      <c r="C44" s="11"/>
      <c r="D44" s="11"/>
      <c r="E44" s="9"/>
      <c r="F44" s="11"/>
      <c r="G44" s="48"/>
      <c r="H44" s="11"/>
      <c r="I44" s="11"/>
      <c r="J44" s="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9"/>
      <c r="BE44" s="11"/>
      <c r="BF44" s="11"/>
      <c r="BG44" s="11"/>
      <c r="BH44" s="11"/>
      <c r="BI44" s="9"/>
      <c r="BJ44" s="11"/>
      <c r="BK44" s="11"/>
      <c r="BL44" s="11"/>
      <c r="BM44" s="9"/>
    </row>
    <row r="45">
      <c r="A45" s="9"/>
      <c r="B45" s="11"/>
      <c r="C45" s="11"/>
      <c r="D45" s="11"/>
      <c r="E45" s="9"/>
      <c r="F45" s="11"/>
      <c r="G45" s="48"/>
      <c r="H45" s="11"/>
      <c r="I45" s="11"/>
      <c r="J45" s="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9"/>
      <c r="BE45" s="11"/>
      <c r="BF45" s="11"/>
      <c r="BG45" s="11"/>
      <c r="BH45" s="11"/>
      <c r="BI45" s="9"/>
      <c r="BJ45" s="11"/>
      <c r="BK45" s="11"/>
      <c r="BL45" s="11"/>
      <c r="BM45" s="9"/>
    </row>
    <row r="46">
      <c r="A46" s="9"/>
      <c r="B46" s="11"/>
      <c r="C46" s="11"/>
      <c r="D46" s="11"/>
      <c r="E46" s="9"/>
      <c r="F46" s="11"/>
      <c r="G46" s="48"/>
      <c r="H46" s="11"/>
      <c r="I46" s="11"/>
      <c r="J46" s="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9"/>
      <c r="BE46" s="11"/>
      <c r="BF46" s="11"/>
      <c r="BG46" s="11"/>
      <c r="BH46" s="11"/>
      <c r="BI46" s="9"/>
      <c r="BJ46" s="11"/>
      <c r="BK46" s="11"/>
      <c r="BL46" s="11"/>
      <c r="BM46" s="9"/>
    </row>
    <row r="47" ht="3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</row>
  </sheetData>
  <mergeCells count="55">
    <mergeCell ref="BH33:BH34"/>
    <mergeCell ref="BH37:BH39"/>
    <mergeCell ref="BA14:BA18"/>
    <mergeCell ref="BC16:BC17"/>
    <mergeCell ref="BE18:BH19"/>
    <mergeCell ref="BG21:BG22"/>
    <mergeCell ref="BH21:BH22"/>
    <mergeCell ref="BC30:BC31"/>
    <mergeCell ref="BC37:BC39"/>
    <mergeCell ref="A1:BM3"/>
    <mergeCell ref="W5:Z5"/>
    <mergeCell ref="AA5:AM5"/>
    <mergeCell ref="AN5:AQ5"/>
    <mergeCell ref="C6:D6"/>
    <mergeCell ref="AF6:AH6"/>
    <mergeCell ref="AF7:AH7"/>
    <mergeCell ref="C7:D7"/>
    <mergeCell ref="C8:D8"/>
    <mergeCell ref="AF8:AH8"/>
    <mergeCell ref="C9:D9"/>
    <mergeCell ref="AF9:AH9"/>
    <mergeCell ref="C10:I11"/>
    <mergeCell ref="BE10:BJ11"/>
    <mergeCell ref="AF10:AH10"/>
    <mergeCell ref="AF11:AH11"/>
    <mergeCell ref="AF14:AH14"/>
    <mergeCell ref="U15:V15"/>
    <mergeCell ref="AF15:AH15"/>
    <mergeCell ref="AR15:AS15"/>
    <mergeCell ref="AF16:AH16"/>
    <mergeCell ref="AF25:AH25"/>
    <mergeCell ref="AF26:AH26"/>
    <mergeCell ref="AF27:AH27"/>
    <mergeCell ref="AF28:AH28"/>
    <mergeCell ref="AF29:AH29"/>
    <mergeCell ref="AC30:AK31"/>
    <mergeCell ref="AA36:AM41"/>
    <mergeCell ref="AF17:AH17"/>
    <mergeCell ref="AF18:AH18"/>
    <mergeCell ref="AF19:AH19"/>
    <mergeCell ref="AF20:AH20"/>
    <mergeCell ref="AF21:AH21"/>
    <mergeCell ref="AF22:AH22"/>
    <mergeCell ref="AF24:AH24"/>
    <mergeCell ref="F33:F34"/>
    <mergeCell ref="F37:F39"/>
    <mergeCell ref="BL37:BL39"/>
    <mergeCell ref="M14:M18"/>
    <mergeCell ref="K16:K17"/>
    <mergeCell ref="F18:I19"/>
    <mergeCell ref="F21:F22"/>
    <mergeCell ref="G21:G22"/>
    <mergeCell ref="K30:K31"/>
    <mergeCell ref="B37:B39"/>
    <mergeCell ref="K37:K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8.13"/>
    <col customWidth="1" min="4" max="4" width="24.63"/>
  </cols>
  <sheetData>
    <row r="1">
      <c r="A1" s="84" t="s">
        <v>32</v>
      </c>
      <c r="B1" s="84" t="s">
        <v>33</v>
      </c>
      <c r="C1" s="84" t="s">
        <v>34</v>
      </c>
      <c r="D1" s="84" t="s">
        <v>35</v>
      </c>
    </row>
    <row r="2">
      <c r="A2" s="84" t="s">
        <v>36</v>
      </c>
      <c r="B2" s="85">
        <v>408.0</v>
      </c>
      <c r="C2" s="85">
        <v>700.0</v>
      </c>
      <c r="D2" s="86">
        <f t="shared" ref="D2:D4" si="1">B2*C2</f>
        <v>285600</v>
      </c>
    </row>
    <row r="3">
      <c r="A3" s="84" t="s">
        <v>37</v>
      </c>
      <c r="B3" s="85">
        <v>93.0</v>
      </c>
      <c r="C3" s="85">
        <v>500.0</v>
      </c>
      <c r="D3" s="86">
        <f t="shared" si="1"/>
        <v>46500</v>
      </c>
    </row>
    <row r="4">
      <c r="A4" s="84" t="s">
        <v>38</v>
      </c>
      <c r="B4" s="85">
        <v>204.0</v>
      </c>
      <c r="C4" s="85">
        <v>300.0</v>
      </c>
      <c r="D4" s="86">
        <f t="shared" si="1"/>
        <v>61200</v>
      </c>
    </row>
    <row r="5">
      <c r="A5" s="87"/>
      <c r="B5" s="88"/>
      <c r="C5" s="88"/>
      <c r="D5" s="89"/>
    </row>
    <row r="6">
      <c r="A6" s="90" t="s">
        <v>39</v>
      </c>
      <c r="B6" s="91">
        <v>100.0</v>
      </c>
      <c r="C6" s="91">
        <v>700.0</v>
      </c>
      <c r="D6" s="92">
        <f>B6*C6</f>
        <v>70000</v>
      </c>
    </row>
    <row r="7">
      <c r="A7" s="87"/>
      <c r="B7" s="88"/>
      <c r="C7" s="88"/>
      <c r="D7" s="89"/>
    </row>
    <row r="8">
      <c r="A8" s="93" t="s">
        <v>40</v>
      </c>
      <c r="B8" s="91" t="s">
        <v>41</v>
      </c>
      <c r="C8" s="94"/>
      <c r="D8" s="94">
        <f>sum(D2:D4)</f>
        <v>393300</v>
      </c>
    </row>
    <row r="9">
      <c r="A9" s="95"/>
      <c r="B9" s="93" t="s">
        <v>42</v>
      </c>
      <c r="C9" s="94"/>
      <c r="D9" s="96">
        <f>sum(D2:D4)-D6</f>
        <v>323300</v>
      </c>
    </row>
  </sheetData>
  <mergeCells count="2">
    <mergeCell ref="A5:D5"/>
    <mergeCell ref="A7:D7"/>
  </mergeCells>
  <drawing r:id="rId1"/>
</worksheet>
</file>